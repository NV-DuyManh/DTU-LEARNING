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Group 4\Testcase\Nguyễn Văn Duy Mạnh\"/>
    </mc:Choice>
  </mc:AlternateContent>
  <xr:revisionPtr revIDLastSave="0" documentId="8_{CBBC7D00-D470-4C07-B567-BA4FC88D3611}" xr6:coauthVersionLast="47" xr6:coauthVersionMax="47" xr10:uidLastSave="{00000000-0000-0000-0000-000000000000}"/>
  <bookViews>
    <workbookView xWindow="-108" yWindow="-108" windowWidth="23256" windowHeight="12456" activeTab="2" xr2:uid="{E1D2F7B2-446A-4CAF-9B3B-505F3A57C587}"/>
  </bookViews>
  <sheets>
    <sheet name="VPI-Mạnh" sheetId="1" r:id="rId1"/>
    <sheet name="SP-Mạnh" sheetId="2" r:id="rId2"/>
    <sheet name="P-Mạnh" sheetId="5" r:id="rId3"/>
    <sheet name="SPM-Mạnh" sheetId="6" r:id="rId4"/>
    <sheet name="MC-Mạnh" sheetId="7" r:id="rId5"/>
    <sheet name="MPR-Mạnh" sheetId="8" r:id="rId6"/>
    <sheet name="VFP-Mạnh" sheetId="9" r:id="rId7"/>
    <sheet name="MS-Mạnh" sheetId="11" r:id="rId8"/>
    <sheet name="Report" sheetId="1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12" l="1"/>
  <c r="D20" i="12"/>
  <c r="C20" i="12"/>
  <c r="E19" i="12"/>
  <c r="E18" i="12"/>
  <c r="D18" i="12"/>
  <c r="D19" i="12"/>
  <c r="C19" i="12"/>
  <c r="C18" i="12"/>
  <c r="D17" i="12"/>
  <c r="E17" i="12"/>
  <c r="C15" i="12"/>
  <c r="D15" i="12"/>
  <c r="E15" i="12"/>
  <c r="C17" i="12"/>
  <c r="H15" i="11" l="1"/>
  <c r="H14" i="11"/>
  <c r="H13" i="11"/>
  <c r="H14" i="9"/>
  <c r="H13" i="9"/>
  <c r="H12" i="9"/>
  <c r="H14" i="8"/>
  <c r="H13" i="8"/>
  <c r="H12" i="8"/>
  <c r="H15" i="7"/>
  <c r="H14" i="7"/>
  <c r="H13" i="7"/>
  <c r="H16" i="7" s="1"/>
  <c r="H15" i="6"/>
  <c r="H14" i="6"/>
  <c r="H13" i="6"/>
  <c r="H28" i="2"/>
  <c r="H27" i="2"/>
  <c r="H29" i="2"/>
  <c r="H25" i="5"/>
  <c r="H24" i="5"/>
  <c r="H23" i="5"/>
  <c r="H16" i="11" l="1"/>
  <c r="C21" i="12" s="1"/>
  <c r="H30" i="2"/>
  <c r="H15" i="9"/>
  <c r="H15" i="8"/>
  <c r="H16" i="6"/>
  <c r="H26" i="5"/>
  <c r="C16" i="12" s="1"/>
  <c r="H35" i="1"/>
  <c r="H36" i="1"/>
  <c r="H37" i="1"/>
  <c r="D16" i="12" l="1"/>
  <c r="E16" i="12"/>
  <c r="D21" i="12"/>
  <c r="E21" i="12"/>
  <c r="F5" i="12"/>
  <c r="F4" i="12"/>
  <c r="H38" i="1"/>
  <c r="C14" i="12" s="1"/>
  <c r="F6" i="12" l="1"/>
  <c r="G10" i="12" s="1"/>
  <c r="G11" i="12" s="1"/>
  <c r="D14" i="12"/>
  <c r="E14" i="12"/>
</calcChain>
</file>

<file path=xl/sharedStrings.xml><?xml version="1.0" encoding="utf-8"?>
<sst xmlns="http://schemas.openxmlformats.org/spreadsheetml/2006/main" count="930" uniqueCount="328">
  <si>
    <t>Project Name</t>
  </si>
  <si>
    <t>Vẽ các bảng kỹ thuật viết testcase bên dưới</t>
  </si>
  <si>
    <t>Module Name</t>
  </si>
  <si>
    <t>Created By</t>
  </si>
  <si>
    <t>Creation Date</t>
  </si>
  <si>
    <t>Reviewed By</t>
  </si>
  <si>
    <t>Team Lead</t>
  </si>
  <si>
    <t>Reviewed Date</t>
  </si>
  <si>
    <t>Test Case ID</t>
  </si>
  <si>
    <t>Description</t>
  </si>
  <si>
    <t>Precondition</t>
  </si>
  <si>
    <t>Test Steps</t>
  </si>
  <si>
    <t>Test Data</t>
  </si>
  <si>
    <t>Expected Result</t>
  </si>
  <si>
    <t>Actual Result</t>
  </si>
  <si>
    <t>Status</t>
  </si>
  <si>
    <t>Comments(if any)</t>
  </si>
  <si>
    <t>Pass</t>
  </si>
  <si>
    <t>Fail</t>
  </si>
  <si>
    <t>Pending</t>
  </si>
  <si>
    <t>Total</t>
  </si>
  <si>
    <t>Nguyen Van Duy Manh</t>
  </si>
  <si>
    <t xml:space="preserve">36FULLZ </t>
  </si>
  <si>
    <t>TC-VPI-01</t>
  </si>
  <si>
    <t>View product details such as introduction, price, size,...</t>
  </si>
  <si>
    <t>Display product information</t>
  </si>
  <si>
    <t>1. Open the browser
2. Access the URL</t>
  </si>
  <si>
    <t>TC-VPI-02</t>
  </si>
  <si>
    <t>TC-VPI-03</t>
  </si>
  <si>
    <t>TC-VPI-04</t>
  </si>
  <si>
    <t>TC-VPI-05</t>
  </si>
  <si>
    <t>TC-VPI-06</t>
  </si>
  <si>
    <t>TC-VPI-07</t>
  </si>
  <si>
    <t>TC-VPI-08</t>
  </si>
  <si>
    <t>TC-VPI-09</t>
  </si>
  <si>
    <t>TC-VPI-10</t>
  </si>
  <si>
    <t>TC-VPI-11</t>
  </si>
  <si>
    <t>TC-VPI-12</t>
  </si>
  <si>
    <t>TC-VPI-13</t>
  </si>
  <si>
    <t>TC-VPI-14</t>
  </si>
  <si>
    <t>TC-VPI-15</t>
  </si>
  <si>
    <t>TC-VPI-16</t>
  </si>
  <si>
    <t>TC-VPI-17</t>
  </si>
  <si>
    <t>Product name not found</t>
  </si>
  <si>
    <t>Search Product (SP)</t>
  </si>
  <si>
    <t>TC-SP-01</t>
  </si>
  <si>
    <t>TC-SP-02</t>
  </si>
  <si>
    <t>TC-SP-03</t>
  </si>
  <si>
    <t>TC-SP-04</t>
  </si>
  <si>
    <t>TC-SP-05</t>
  </si>
  <si>
    <t>TC-SP-06</t>
  </si>
  <si>
    <t>TC-SP-07</t>
  </si>
  <si>
    <t>TC-SP-08</t>
  </si>
  <si>
    <t>TC-SP-09</t>
  </si>
  <si>
    <t>TC-SP-10</t>
  </si>
  <si>
    <t>1. Open the browser
2. Enter the item you are looking for in the search bar</t>
  </si>
  <si>
    <t>search.php</t>
  </si>
  <si>
    <t xml:space="preserve">Search for products based on keywords "áo" </t>
  </si>
  <si>
    <t xml:space="preserve">Search for products based on keywords "quần" </t>
  </si>
  <si>
    <t>Search for products based on keywords "mũ"</t>
  </si>
  <si>
    <t>Search for products based on keywords "polo"</t>
  </si>
  <si>
    <t>Search for products based on keywords "kẻ"</t>
  </si>
  <si>
    <t>Search for products based on keywords "cổ"</t>
  </si>
  <si>
    <t>Search for products based on keywords "thể thao"</t>
  </si>
  <si>
    <t>Search for products based on keywords "tay"</t>
  </si>
  <si>
    <t>Search for products based on keywords "váy"</t>
  </si>
  <si>
    <t>Search for products based on keywords "bông"</t>
  </si>
  <si>
    <t>Display a list of items that contain the search keyword "bông"</t>
  </si>
  <si>
    <t>Display a list of items that contain the search keyword "váy"</t>
  </si>
  <si>
    <t>Display a list of items that contain the search keyword "tay"</t>
  </si>
  <si>
    <t>Display a list of items that contain the search keyword "thể thao"</t>
  </si>
  <si>
    <t>Display a list of items that contain the search keyword "kẻ"</t>
  </si>
  <si>
    <t>Display a list of items that contain the search keyword "cổ"</t>
  </si>
  <si>
    <t>Display a list of items that contain the search keyword "polo"</t>
  </si>
  <si>
    <t>Display a list of items that contain the search keyword "mũ"</t>
  </si>
  <si>
    <t xml:space="preserve">Display a list of items that contain the search keyword "quần" </t>
  </si>
  <si>
    <t xml:space="preserve">Display a list of items that contain the search keyword "áo" </t>
  </si>
  <si>
    <t>TC-SP-11</t>
  </si>
  <si>
    <t>TC-SP-12</t>
  </si>
  <si>
    <t>TC-SP-13</t>
  </si>
  <si>
    <t>TC-SP-14</t>
  </si>
  <si>
    <t>TC-SP-15</t>
  </si>
  <si>
    <t>TC-SP-16</t>
  </si>
  <si>
    <t>TC-SP-17</t>
  </si>
  <si>
    <t>TC-SP-18</t>
  </si>
  <si>
    <t xml:space="preserve">Search for products based on keywords "" </t>
  </si>
  <si>
    <t>Send notification "Trống, vui lòng nhập mặt hàng cần tìm"</t>
  </si>
  <si>
    <t>Display empty list</t>
  </si>
  <si>
    <t xml:space="preserve">Search for products based on keywords "12345" </t>
  </si>
  <si>
    <t>Search for products based on keywords "2025"</t>
  </si>
  <si>
    <t>Search for products based on keywords "@#$"</t>
  </si>
  <si>
    <t>Send notification "Kí tự tìm kiếm không hợp lệ"</t>
  </si>
  <si>
    <t>Search for products based on keywords "!!!"</t>
  </si>
  <si>
    <t>Search for too long character (aaaaaaaaa..............a)</t>
  </si>
  <si>
    <t>Error</t>
  </si>
  <si>
    <t>Safe web, valid error reporting</t>
  </si>
  <si>
    <t>Web error</t>
  </si>
  <si>
    <t>Search for SQL Injection attacks (' OR 1=1; --)</t>
  </si>
  <si>
    <t>Search for products based on keywords "asdfghjkl"</t>
  </si>
  <si>
    <t>TC-P-01</t>
  </si>
  <si>
    <t>TC-P-02</t>
  </si>
  <si>
    <t>TC-P-03</t>
  </si>
  <si>
    <t>TC-P-04</t>
  </si>
  <si>
    <t>TC-P-05</t>
  </si>
  <si>
    <t>TC-P-06</t>
  </si>
  <si>
    <t>TC-P-07</t>
  </si>
  <si>
    <t>TC-P-08</t>
  </si>
  <si>
    <t>TC-P-09</t>
  </si>
  <si>
    <t>TC-P-10</t>
  </si>
  <si>
    <t>TC-P-11</t>
  </si>
  <si>
    <t>TC-P-12</t>
  </si>
  <si>
    <t>TC-P-13</t>
  </si>
  <si>
    <t>Purchase (P)</t>
  </si>
  <si>
    <t>cart.php</t>
  </si>
  <si>
    <t>1. Open the browser
2. Log in
3. Enter the item you are looking for in the search bar
4. Select the item you want to buy
5. Select the quantity and size of clothes you need
6. Click purchase</t>
  </si>
  <si>
    <t>product.php?sanpham_id=25</t>
  </si>
  <si>
    <t>product.php?sanpham_id=54</t>
  </si>
  <si>
    <t>product.php?sanpham_id=34</t>
  </si>
  <si>
    <t>product.php?sanpham_id=79</t>
  </si>
  <si>
    <t>product.php?sanpham_id=68</t>
  </si>
  <si>
    <t>product.php?sanpham_id=71</t>
  </si>
  <si>
    <t>product.php?sanpham_id=29</t>
  </si>
  <si>
    <t>product.php?sanpham_id=36</t>
  </si>
  <si>
    <t>product.php?sanpham_id=abc</t>
  </si>
  <si>
    <t>product.php?sanpham_id=52</t>
  </si>
  <si>
    <t>product.php?sanpham_id=0</t>
  </si>
  <si>
    <t>product.php?sanpham_id=-10</t>
  </si>
  <si>
    <t>product.php?sanpham_id=@%23$</t>
  </si>
  <si>
    <t>product.php?sanpham_id=99999</t>
  </si>
  <si>
    <t>product.php?sanpham_id=</t>
  </si>
  <si>
    <t>product.php?sanpham_id=43%20OR%201%3D1</t>
  </si>
  <si>
    <t>Display the temporary table of the selected item</t>
  </si>
  <si>
    <t>Display information "Vui lòng chọn size*"</t>
  </si>
  <si>
    <t>Display information "Vui lòng nhập số"</t>
  </si>
  <si>
    <t>Display information "Số lượng đặt hàng phải nhỏ hơn số lượng tồn kho"</t>
  </si>
  <si>
    <t>Display information "Vui lòng nhập số lượng lớn hơn 0"</t>
  </si>
  <si>
    <t>Display information "Vui lòng nhập số lượng"</t>
  </si>
  <si>
    <t>Display information "Vui lòng nhập số nguyên"</t>
  </si>
  <si>
    <t>Select Payment Method (SPM)</t>
  </si>
  <si>
    <t>TC-SPM-01</t>
  </si>
  <si>
    <t>TC-SPM-02</t>
  </si>
  <si>
    <t>TC-SPM-03</t>
  </si>
  <si>
    <t>TC-SPM-04</t>
  </si>
  <si>
    <t>View Product Information (VPI)</t>
  </si>
  <si>
    <t>Website is running</t>
  </si>
  <si>
    <t>- Website is running
- Account registered on the system</t>
  </si>
  <si>
    <t>1. Open the browser
2. Log in
3. Enter the item you are looking for in the search bar
4. Select the item you want to buy
5. Select the quantity and size of clothes you need
6. Click purchase
7. Click to pay
8. Select payment method</t>
  </si>
  <si>
    <t>pay.php
success.php</t>
  </si>
  <si>
    <t>Select credit card payment method</t>
  </si>
  <si>
    <t>Select payment method by ATM card</t>
  </si>
  <si>
    <t>Select payment method by Momo</t>
  </si>
  <si>
    <t>Choose cash on delivery payment method</t>
  </si>
  <si>
    <t>Show successful payment notification and wait for delivery time</t>
  </si>
  <si>
    <t>Display QR code payment page</t>
  </si>
  <si>
    <t>Manage Comments (MC)</t>
  </si>
  <si>
    <t>View list of customers who commented</t>
  </si>
  <si>
    <t>TC-MC-01</t>
  </si>
  <si>
    <t>TC-MC-02</t>
  </si>
  <si>
    <t>TC-MC-03</t>
  </si>
  <si>
    <t>TC-MC-04</t>
  </si>
  <si>
    <t>View list of checked comments</t>
  </si>
  <si>
    <t>View list of unverified comments</t>
  </si>
  <si>
    <t>Delete comment</t>
  </si>
  <si>
    <t>binhluanAll.php</t>
  </si>
  <si>
    <t>- Website is running
- Must have administrator account</t>
  </si>
  <si>
    <t>Show a list of people who commented</t>
  </si>
  <si>
    <t>Manage Product Reviews (MPR)</t>
  </si>
  <si>
    <t>TC-MPR-01</t>
  </si>
  <si>
    <t>TC-MPR-02</t>
  </si>
  <si>
    <t>TC-MPR-03</t>
  </si>
  <si>
    <t>See list of all reviewed products</t>
  </si>
  <si>
    <t>View customer reviews</t>
  </si>
  <si>
    <t>rating.php</t>
  </si>
  <si>
    <t>Display a list of rated products</t>
  </si>
  <si>
    <t>Display product reviewer information</t>
  </si>
  <si>
    <t>Delete product review</t>
  </si>
  <si>
    <t>Comment has been deleted</t>
  </si>
  <si>
    <t>Product review has been deleted</t>
  </si>
  <si>
    <t>'Error because the user id comment to delete was not found</t>
  </si>
  <si>
    <t>View Favorite Products (VFP)</t>
  </si>
  <si>
    <t>TC-VFP-01</t>
  </si>
  <si>
    <t>TC-VFP-02</t>
  </si>
  <si>
    <t>TC-VFP-03</t>
  </si>
  <si>
    <t>View information about customers who have liked the product</t>
  </si>
  <si>
    <t>Remove favorite products from list</t>
  </si>
  <si>
    <t>View all favorite products</t>
  </si>
  <si>
    <t>Error because the user product id to delete was not found</t>
  </si>
  <si>
    <t>wishlist.php</t>
  </si>
  <si>
    <t>Display information about customers who have liked the product</t>
  </si>
  <si>
    <t>Favorite product removed from favorites list</t>
  </si>
  <si>
    <t>Error because the ID of the favorite product to be deleted was not found</t>
  </si>
  <si>
    <t>Display all favorite products of the website</t>
  </si>
  <si>
    <t>TC-MS-01</t>
  </si>
  <si>
    <t>TC-MS-02</t>
  </si>
  <si>
    <t>TC-MS-03</t>
  </si>
  <si>
    <t>Manage Slide (MS)</t>
  </si>
  <si>
    <t>TC-MS-04</t>
  </si>
  <si>
    <t>slider.php</t>
  </si>
  <si>
    <t>1. Open the browser
2. Log in admin
3. Select Slider function</t>
  </si>
  <si>
    <t>View a list of all available slides</t>
  </si>
  <si>
    <t>Add a new slide to the website</t>
  </si>
  <si>
    <t>Change the status (On/Off) of a slide</t>
  </si>
  <si>
    <t>Delete an existing slide</t>
  </si>
  <si>
    <t>1. Open the browser
2. Log in admin
3. Select "Sản phẩm yêu thích" function</t>
  </si>
  <si>
    <t>1. Open the browser
2. Log in admin
3. Select "Đánh giá sản phẩm" function</t>
  </si>
  <si>
    <t>Show all existing slides in the website</t>
  </si>
  <si>
    <t>1. Open the browser
2. Log in admin
3. Select Slider function
4.Add necessary slide information</t>
  </si>
  <si>
    <t>Displays a list of existing slides including newly added slides</t>
  </si>
  <si>
    <t>Show new status after change</t>
  </si>
  <si>
    <t>Update slide list after deletion</t>
  </si>
  <si>
    <t>product.php?sanpham_id=47</t>
  </si>
  <si>
    <t>TC-VPI-18</t>
  </si>
  <si>
    <t>TC-VPI-19</t>
  </si>
  <si>
    <t>TC-VPI-20</t>
  </si>
  <si>
    <t>TC-VPI-21</t>
  </si>
  <si>
    <t>TC-VPI-22</t>
  </si>
  <si>
    <t>TC-VPI-23</t>
  </si>
  <si>
    <t>TC-VPI-24</t>
  </si>
  <si>
    <t>TC-VPI-25</t>
  </si>
  <si>
    <t>TC-VPI-26</t>
  </si>
  <si>
    <t>product.php?sanpham_id=24.5</t>
  </si>
  <si>
    <t>product.php?sanpham_id=100</t>
  </si>
  <si>
    <t>product.php?sanpham_id=-1</t>
  </si>
  <si>
    <t>product.php?sanpham_id=1e5</t>
  </si>
  <si>
    <t>product.php?sanpham_id=%20%20</t>
  </si>
  <si>
    <t>product.php?sanpham_id=%27%20OR%20%27%27%3D%27%27</t>
  </si>
  <si>
    <t>product.php?sanpham_id=00057</t>
  </si>
  <si>
    <t>product.php?sanpham_id=07</t>
  </si>
  <si>
    <t>product.php?sanpham_id=%3BDROP%20TABLE%20sanpham%3B</t>
  </si>
  <si>
    <t>Equivalence (1)</t>
  </si>
  <si>
    <t>Equivalence (3)</t>
  </si>
  <si>
    <t>Equivalence (2)</t>
  </si>
  <si>
    <t>Equivalence (5)</t>
  </si>
  <si>
    <t>Equivalence (4)</t>
  </si>
  <si>
    <t>Equivalence (9)</t>
  </si>
  <si>
    <t>Equivalence (7)</t>
  </si>
  <si>
    <t>Equivalence (11)</t>
  </si>
  <si>
    <t>Equivalence (6)</t>
  </si>
  <si>
    <t>Equivalence (13)</t>
  </si>
  <si>
    <t>Equivalence (10)</t>
  </si>
  <si>
    <t>Equivalence (12)</t>
  </si>
  <si>
    <t>Equivalence (8)</t>
  </si>
  <si>
    <t>Order based on the following information: Buy 'quần', quantity 2, size XXL</t>
  </si>
  <si>
    <t>Order based on the following information: Buy "mũ", quantity 1, size L and "váy", quantity 1, size S</t>
  </si>
  <si>
    <t>Order based on the following information: Buy "áo", quantity 1, size XL; "quần", quantity 1, size XXL; "tay", quantity 1, size S</t>
  </si>
  <si>
    <t>Order based on the following information: Buy "áo",quantity 1, but size is not selected</t>
  </si>
  <si>
    <t>Order based on the following information: Buy "áo", but quantity is empty, size XL</t>
  </si>
  <si>
    <t>Order based on the following information: Buy "áo", but quantity is "@#$", size XL</t>
  </si>
  <si>
    <t>Order based on the following information: Order based on the following information: Buy "áo", quantity 3, size M</t>
  </si>
  <si>
    <t>1. Open the browser
2. Log in admin
3. Select "Quản lí bình luận" function
4. Select "DS Khách Hàng Bình Luận" function on the toolbar</t>
  </si>
  <si>
    <t>1. Open the browser
2. Log in admin
3. Select "Quản lí bình luận" function
4. Select "Đã Kiểm Tra" function on the toolbar</t>
  </si>
  <si>
    <t>1. Open the browser
2. Log in admin
3. Select "Quản lí bình luận" function
4. Select "Chưa Kiểm Tra" function on the toolbar</t>
  </si>
  <si>
    <t>1. Open the browser
2. Log in admin
3. Select "Quản lí bình luận" function
4. Click the "recycle bin" icon to delete the comment</t>
  </si>
  <si>
    <t xml:space="preserve">binhluanAll.php
</t>
  </si>
  <si>
    <t>binhluanAll.php
binhluandone.php</t>
  </si>
  <si>
    <t>binhluanAll.php
binhluanlist.php</t>
  </si>
  <si>
    <t>rating.php
register_rating.php</t>
  </si>
  <si>
    <t>1. Open the browser
2. Log in admin
3. Select "Đánh giá sản phẩm" function
4. Click the "Xem" button on the toolbar</t>
  </si>
  <si>
    <t>1. Open the browser
2. Log in admin
3. Select "Đánh giá sản phẩm" function
4. Click the "recycle bin" icon to delete the review</t>
  </si>
  <si>
    <t>1. Open the browser
2. Log in admin
3. Select "Sản phẩm yêu thích" function
4. Click the "Xem" button on the toolbar</t>
  </si>
  <si>
    <t>wishlist.php
register_wishlist.php</t>
  </si>
  <si>
    <t>1. Open the browser
2. Log in admin
3. Select "Sản phẩm yêu thích" function
4. Click the "recycle bin" icon to delete the view favorite product</t>
  </si>
  <si>
    <t>slider.php
Slideradd.php</t>
  </si>
  <si>
    <t>1. Open the browser
2. Log in admin
3. Select Slider function
4. Select "Off or On" status on the tool panel</t>
  </si>
  <si>
    <t>1. Open the browser
2. Log in admin
3. Select Slider function
4. Click the "recycle bin" icon to delete the slide</t>
  </si>
  <si>
    <t>Error Guessing</t>
  </si>
  <si>
    <r>
      <t xml:space="preserve">Black box technique application table in word file named </t>
    </r>
    <r>
      <rPr>
        <b/>
        <sz val="12"/>
        <color rgb="FF0070C0"/>
        <rFont val="Times New Roman"/>
        <family val="1"/>
      </rPr>
      <t>NguyenVanDuyManh.docx</t>
    </r>
  </si>
  <si>
    <t>Error because the ID of the slide to be deleted was not found</t>
  </si>
  <si>
    <t>TEST REPORT</t>
  </si>
  <si>
    <t>Test Cycle</t>
  </si>
  <si>
    <t>System Test</t>
  </si>
  <si>
    <t>Executed</t>
  </si>
  <si>
    <t>Passed</t>
  </si>
  <si>
    <t>Failed</t>
  </si>
  <si>
    <t>(Total) Test executed (Passed + Failed)</t>
  </si>
  <si>
    <t>In Process</t>
  </si>
  <si>
    <t>Blocked</t>
  </si>
  <si>
    <t>(Sub-total) Test Planned</t>
  </si>
  <si>
    <t>Pending + In Process + Blocked + Test Planned</t>
  </si>
  <si>
    <t>Function</t>
  </si>
  <si>
    <t>% TCs Executed</t>
  </si>
  <si>
    <t>% TCs Passed</t>
  </si>
  <si>
    <t>% TCs Failed</t>
  </si>
  <si>
    <t>Priority</t>
  </si>
  <si>
    <t>High</t>
  </si>
  <si>
    <t>Medium</t>
  </si>
  <si>
    <t>View Product Information</t>
  </si>
  <si>
    <t>Search Product</t>
  </si>
  <si>
    <t>Purchase</t>
  </si>
  <si>
    <t>Select Payment Method</t>
  </si>
  <si>
    <t>Manage Comments</t>
  </si>
  <si>
    <t>Manage Product Reviews</t>
  </si>
  <si>
    <t>View Favorite Products</t>
  </si>
  <si>
    <t>Manage Slideshow</t>
  </si>
  <si>
    <t>View product details including price, size and item information</t>
  </si>
  <si>
    <t>Search for products based on keyword name</t>
  </si>
  <si>
    <t>Select information and purchase the item of your choice</t>
  </si>
  <si>
    <t>Select payment methods to complete the ordering process</t>
  </si>
  <si>
    <t>View, delete comments and commenter information</t>
  </si>
  <si>
    <t>View, delete reviews and who rated them</t>
  </si>
  <si>
    <t>View favorite items or remove it</t>
  </si>
  <si>
    <t>Add/Edit/Delete website slideshows</t>
  </si>
  <si>
    <t>Critical</t>
  </si>
  <si>
    <t>Low–Medium</t>
  </si>
  <si>
    <t>Low</t>
  </si>
  <si>
    <t>Unstable</t>
  </si>
  <si>
    <t xml:space="preserve">Error because the ID of the slide </t>
  </si>
  <si>
    <t>Equivalence (1) (3),
Boundary
Decision Table (R1)</t>
  </si>
  <si>
    <t>Equivalence (1) (6),
Boundary
Decision Table (R1)</t>
  </si>
  <si>
    <t>TC-P-14</t>
  </si>
  <si>
    <t>Order based on the following information: Buy "áo" but quantity is "abc", size XL</t>
  </si>
  <si>
    <t>Order based on the following information: Buy "áo", quantity is "0", size XL</t>
  </si>
  <si>
    <t>Order based on the following information: Buy "áo", quantity is "-5", size XL</t>
  </si>
  <si>
    <t>Order based on the following information: Buy "áo", quantity is "999", size XL</t>
  </si>
  <si>
    <t>Order based on the following information: Buy "áo", quantity is "1.5", size XL</t>
  </si>
  <si>
    <t>Order based on the following information: Buy "áo", quantity is "999", size is not selected</t>
  </si>
  <si>
    <t>Equivalence (11) (5),
Boundary
Decision Table (R4)</t>
  </si>
  <si>
    <t>Equivalence (1) (4),
Boundary
Decision Table (R1)</t>
  </si>
  <si>
    <t>Order based on the following information: Buy "mũ", quantity 1, size L</t>
  </si>
  <si>
    <t>Equivalence (1) (2) (4),
Boundary
Decision Table (R1)</t>
  </si>
  <si>
    <t>Equivalence (1) (2) (5) (6),
Boundary
Decision Table (R1)</t>
  </si>
  <si>
    <t>Equivalence (1) (13),
Boundary
Decision Table (R3)</t>
  </si>
  <si>
    <t>Equivalence (9) (5),
Boundary
Decision Table (R2)</t>
  </si>
  <si>
    <t>Equivalence (12) (5),
Boundary
Decision Table (R2)</t>
  </si>
  <si>
    <t>Equivalence (8) (5),
Boundary
Decision Table (R2)</t>
  </si>
  <si>
    <t>Equivalence (7) (5),
Boundary
Decision Table (R2)</t>
  </si>
  <si>
    <t>Equivalence (10) (5),
Boundary
Decision Table (R2)</t>
  </si>
  <si>
    <t>Equivalence (11) (5),
Boundary
Decision Table (R1)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</si>
</sst>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63"/>
      <scheme val="minor"/>
    </font>
    <font>
      <b/>
      <sz val="12"/>
      <color theme="1"/>
      <name val="Times New Roman"/>
      <family val="1"/>
    </font>
    <font>
      <sz val="12"/>
      <color theme="1"/>
      <name val="Times New Roman"/>
      <family val="1"/>
    </font>
    <font>
      <b/>
      <sz val="12"/>
      <color rgb="FFFF0000"/>
      <name val="Times New Roman"/>
      <family val="1"/>
    </font>
    <font>
      <sz val="12"/>
      <color rgb="FF161C2D"/>
      <name val="Times New Roman"/>
      <family val="1"/>
    </font>
    <font>
      <sz val="12"/>
      <color rgb="FF000000"/>
      <name val="Times New Roman"/>
      <family val="1"/>
    </font>
    <font>
      <b/>
      <sz val="12"/>
      <color rgb="FF0070C0"/>
      <name val="Times New Roman"/>
      <family val="1"/>
    </font>
    <font>
      <b/>
      <sz val="18"/>
      <color theme="1"/>
      <name val="Times New Roman"/>
      <family val="1"/>
    </font>
    <font>
      <sz val="11"/>
      <name val="Times New Roman"/>
      <family val="1"/>
    </font>
    <font>
      <sz val="11"/>
      <color theme="1"/>
      <name val="Times New Roman"/>
      <family val="1"/>
    </font>
    <font>
      <b/>
      <sz val="12"/>
      <color rgb="FF1F3864"/>
      <name val="Times New Roman"/>
      <family val="1"/>
    </font>
    <font>
      <sz val="12"/>
      <color rgb="FF1F3864"/>
      <name val="Times New Roman"/>
      <family val="1"/>
    </font>
    <font>
      <sz val="12"/>
      <name val="Times New Roman"/>
      <family val="1"/>
    </font>
    <font>
      <sz val="12"/>
      <color rgb="FFFF0000"/>
      <name val="Times New Roman"/>
      <family val="1"/>
    </font>
    <font>
      <i/>
      <sz val="12"/>
      <color theme="1"/>
      <name val="Times New Roman"/>
      <family val="1"/>
    </font>
    <font>
      <b/>
      <sz val="11"/>
      <color theme="1"/>
      <name val="Calibri"/>
      <family val="2"/>
      <scheme val="minor"/>
    </font>
  </fonts>
  <fills count="13">
    <fill>
      <patternFill patternType="none"/>
    </fill>
    <fill>
      <patternFill patternType="gray125"/>
    </fill>
    <fill>
      <patternFill patternType="solid">
        <fgColor rgb="FF6AA84F"/>
        <bgColor rgb="FF6AA84F"/>
      </patternFill>
    </fill>
    <fill>
      <patternFill patternType="solid">
        <fgColor rgb="FFFFFFFF"/>
        <bgColor rgb="FFFFFFFF"/>
      </patternFill>
    </fill>
    <fill>
      <patternFill patternType="solid">
        <fgColor rgb="FF92D05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A8D08D"/>
        <bgColor rgb="FFA8D08D"/>
      </patternFill>
    </fill>
    <fill>
      <patternFill patternType="solid">
        <fgColor rgb="FFB4C6E7"/>
        <bgColor rgb="FFB4C6E7"/>
      </patternFill>
    </fill>
    <fill>
      <patternFill patternType="solid">
        <fgColor theme="5" tint="0.59999389629810485"/>
        <bgColor indexed="64"/>
      </patternFill>
    </fill>
    <fill>
      <patternFill patternType="solid">
        <fgColor rgb="FFFF2121"/>
        <bgColor indexed="64"/>
      </patternFill>
    </fill>
    <fill>
      <patternFill patternType="solid">
        <fgColor theme="5"/>
        <bgColor indexed="64"/>
      </patternFill>
    </fill>
    <fill>
      <patternFill patternType="solid">
        <fgColor rgb="FF00B050"/>
        <bgColor indexed="64"/>
      </patternFill>
    </fill>
  </fills>
  <borders count="2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2" fillId="0" borderId="1" xfId="0" applyFont="1" applyBorder="1" applyAlignment="1">
      <alignment vertical="center" wrapText="1"/>
    </xf>
    <xf numFmtId="0" fontId="2" fillId="0" borderId="0" xfId="0" applyFont="1"/>
    <xf numFmtId="14" fontId="2" fillId="2" borderId="1" xfId="0" applyNumberFormat="1" applyFont="1" applyFill="1" applyBorder="1" applyAlignment="1">
      <alignment horizontal="right" vertical="center" wrapText="1"/>
    </xf>
    <xf numFmtId="14" fontId="2" fillId="0" borderId="1" xfId="0" applyNumberFormat="1" applyFont="1" applyBorder="1" applyAlignment="1">
      <alignment horizontal="right" vertical="center" wrapText="1"/>
    </xf>
    <xf numFmtId="0" fontId="2" fillId="0" borderId="1" xfId="0" applyFont="1" applyBorder="1" applyAlignment="1">
      <alignment horizontal="right" vertical="center" wrapText="1"/>
    </xf>
    <xf numFmtId="0" fontId="2" fillId="0" borderId="2" xfId="0" applyFont="1" applyBorder="1" applyAlignment="1">
      <alignment vertical="center" wrapText="1"/>
    </xf>
    <xf numFmtId="0" fontId="1" fillId="2"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quotePrefix="1" applyFont="1" applyBorder="1" applyAlignment="1">
      <alignment horizontal="center" vertical="center" wrapText="1"/>
    </xf>
    <xf numFmtId="0" fontId="2" fillId="0" borderId="0" xfId="0" applyFont="1" applyAlignment="1">
      <alignment vertical="center"/>
    </xf>
    <xf numFmtId="0" fontId="2" fillId="0" borderId="9" xfId="0" quotePrefix="1" applyFont="1" applyBorder="1" applyAlignment="1">
      <alignment horizontal="center" vertical="center" wrapText="1"/>
    </xf>
    <xf numFmtId="0" fontId="2" fillId="0" borderId="10" xfId="0" applyFont="1" applyBorder="1" applyAlignment="1">
      <alignment horizontal="left" vertical="center" wrapText="1"/>
    </xf>
    <xf numFmtId="0" fontId="4" fillId="3" borderId="8" xfId="0" applyFont="1" applyFill="1" applyBorder="1" applyAlignment="1">
      <alignment horizontal="center" vertical="center" wrapText="1"/>
    </xf>
    <xf numFmtId="0" fontId="2" fillId="0" borderId="11" xfId="0" quotePrefix="1" applyFont="1" applyBorder="1" applyAlignment="1">
      <alignment horizontal="center" vertical="center" wrapText="1"/>
    </xf>
    <xf numFmtId="0" fontId="2" fillId="0" borderId="12" xfId="0" quotePrefix="1" applyFont="1" applyBorder="1" applyAlignment="1">
      <alignment horizontal="center" vertical="center" wrapText="1"/>
    </xf>
    <xf numFmtId="0" fontId="2" fillId="0" borderId="13" xfId="0" quotePrefix="1" applyFont="1" applyBorder="1" applyAlignment="1">
      <alignment horizontal="center" vertical="center" wrapText="1"/>
    </xf>
    <xf numFmtId="0" fontId="2" fillId="0" borderId="14" xfId="0" quotePrefix="1" applyFont="1" applyBorder="1" applyAlignment="1">
      <alignment horizontal="center" vertical="center" wrapText="1"/>
    </xf>
    <xf numFmtId="0" fontId="2" fillId="4" borderId="3" xfId="0" applyFont="1" applyFill="1" applyBorder="1" applyAlignment="1">
      <alignment horizontal="center" vertical="center" wrapText="1"/>
    </xf>
    <xf numFmtId="0" fontId="2" fillId="5" borderId="0" xfId="0" applyFont="1" applyFill="1" applyAlignment="1">
      <alignment vertical="center" wrapText="1"/>
    </xf>
    <xf numFmtId="0" fontId="2" fillId="5" borderId="0" xfId="0" applyFont="1" applyFill="1" applyAlignment="1">
      <alignment vertical="center"/>
    </xf>
    <xf numFmtId="0" fontId="5" fillId="5" borderId="0" xfId="0" applyFont="1" applyFill="1" applyAlignment="1">
      <alignment horizontal="left" vertical="center" wrapText="1"/>
    </xf>
    <xf numFmtId="0" fontId="5" fillId="5" borderId="0" xfId="0" applyFont="1" applyFill="1" applyAlignment="1">
      <alignment horizontal="right" vertical="center" wrapText="1"/>
    </xf>
    <xf numFmtId="0" fontId="2" fillId="0" borderId="15" xfId="0" quotePrefix="1" applyFont="1" applyBorder="1" applyAlignment="1">
      <alignment horizontal="left" vertical="center" wrapText="1"/>
    </xf>
    <xf numFmtId="0" fontId="2" fillId="0" borderId="16" xfId="0" quotePrefix="1" applyFont="1" applyBorder="1" applyAlignment="1">
      <alignment horizontal="center" vertical="center" wrapText="1"/>
    </xf>
    <xf numFmtId="0" fontId="1" fillId="2" borderId="7" xfId="0" applyFont="1" applyFill="1" applyBorder="1" applyAlignment="1">
      <alignment horizontal="center" vertical="center" wrapText="1"/>
    </xf>
    <xf numFmtId="0" fontId="2" fillId="0" borderId="15" xfId="0" quotePrefix="1" applyFont="1" applyBorder="1" applyAlignment="1">
      <alignment horizontal="center" vertical="center" wrapText="1"/>
    </xf>
    <xf numFmtId="0" fontId="2" fillId="6" borderId="3" xfId="0" applyFont="1" applyFill="1" applyBorder="1" applyAlignment="1">
      <alignment horizontal="center" vertical="center" wrapText="1"/>
    </xf>
    <xf numFmtId="0" fontId="3" fillId="0" borderId="5" xfId="0" applyFont="1" applyBorder="1" applyAlignment="1">
      <alignment vertical="center"/>
    </xf>
    <xf numFmtId="0" fontId="3" fillId="0" borderId="6" xfId="0" applyFont="1" applyBorder="1" applyAlignment="1">
      <alignment vertical="center"/>
    </xf>
    <xf numFmtId="14" fontId="2" fillId="2" borderId="1" xfId="0" applyNumberFormat="1" applyFont="1" applyFill="1" applyBorder="1" applyAlignment="1">
      <alignment vertical="center" wrapText="1"/>
    </xf>
    <xf numFmtId="0" fontId="9" fillId="0" borderId="0" xfId="0" applyFont="1"/>
    <xf numFmtId="0" fontId="1" fillId="0" borderId="0" xfId="0" applyFont="1"/>
    <xf numFmtId="0" fontId="10" fillId="0" borderId="0" xfId="0" applyFont="1"/>
    <xf numFmtId="0" fontId="2" fillId="0" borderId="17" xfId="0" applyFont="1" applyBorder="1" applyAlignment="1">
      <alignment horizontal="center" vertical="center"/>
    </xf>
    <xf numFmtId="0" fontId="10" fillId="0" borderId="18" xfId="0" applyFont="1" applyBorder="1"/>
    <xf numFmtId="0" fontId="2" fillId="0" borderId="18" xfId="0" applyFont="1" applyBorder="1"/>
    <xf numFmtId="0" fontId="3" fillId="0" borderId="18" xfId="0" applyFont="1" applyBorder="1"/>
    <xf numFmtId="0" fontId="1" fillId="8" borderId="18" xfId="0" applyFont="1" applyFill="1" applyBorder="1" applyAlignment="1">
      <alignment vertical="center"/>
    </xf>
    <xf numFmtId="0" fontId="11" fillId="0" borderId="18" xfId="0" applyFont="1" applyBorder="1" applyAlignment="1">
      <alignment horizontal="center" vertical="center"/>
    </xf>
    <xf numFmtId="0" fontId="13" fillId="0" borderId="18" xfId="0" applyFont="1" applyBorder="1" applyAlignment="1">
      <alignment horizontal="center" vertical="center"/>
    </xf>
    <xf numFmtId="0" fontId="1" fillId="8" borderId="18" xfId="0" applyFont="1" applyFill="1" applyBorder="1" applyAlignment="1">
      <alignment horizontal="center" vertical="center"/>
    </xf>
    <xf numFmtId="0" fontId="2" fillId="0" borderId="18" xfId="0" applyFont="1" applyBorder="1" applyAlignment="1">
      <alignment horizontal="center"/>
    </xf>
    <xf numFmtId="9" fontId="2" fillId="0" borderId="18" xfId="0" applyNumberFormat="1" applyFont="1" applyBorder="1" applyAlignment="1">
      <alignment horizontal="center" vertical="center"/>
    </xf>
    <xf numFmtId="0" fontId="2" fillId="0" borderId="18" xfId="0" applyFont="1" applyBorder="1" applyAlignment="1">
      <alignment horizontal="center" vertical="center"/>
    </xf>
    <xf numFmtId="0" fontId="1" fillId="8" borderId="24" xfId="0" applyFont="1" applyFill="1" applyBorder="1" applyAlignment="1">
      <alignment horizontal="center" vertical="center"/>
    </xf>
    <xf numFmtId="9" fontId="2" fillId="0" borderId="24" xfId="0" applyNumberFormat="1" applyFont="1" applyBorder="1" applyAlignment="1">
      <alignment horizontal="center" vertical="center"/>
    </xf>
    <xf numFmtId="0" fontId="1" fillId="8" borderId="27" xfId="0" applyFont="1" applyFill="1" applyBorder="1" applyAlignment="1">
      <alignment horizontal="center" vertical="center"/>
    </xf>
    <xf numFmtId="0" fontId="2" fillId="0" borderId="20" xfId="0" applyFont="1" applyBorder="1" applyAlignment="1">
      <alignment horizontal="center" vertical="center"/>
    </xf>
    <xf numFmtId="0" fontId="15" fillId="11" borderId="27" xfId="0" applyFont="1" applyFill="1" applyBorder="1" applyAlignment="1">
      <alignment horizontal="center" vertical="center"/>
    </xf>
    <xf numFmtId="0" fontId="15" fillId="10" borderId="27" xfId="0" applyFont="1" applyFill="1" applyBorder="1" applyAlignment="1">
      <alignment horizontal="center" vertical="center"/>
    </xf>
    <xf numFmtId="0" fontId="15" fillId="12" borderId="27" xfId="0" applyFont="1" applyFill="1" applyBorder="1" applyAlignment="1">
      <alignment horizontal="center" vertical="center"/>
    </xf>
    <xf numFmtId="0" fontId="15" fillId="4" borderId="27" xfId="0" applyFont="1" applyFill="1" applyBorder="1" applyAlignment="1">
      <alignment horizontal="center" vertical="center"/>
    </xf>
    <xf numFmtId="0" fontId="15" fillId="5" borderId="27" xfId="0" applyFont="1" applyFill="1" applyBorder="1" applyAlignment="1">
      <alignment horizontal="center" vertical="center"/>
    </xf>
    <xf numFmtId="0" fontId="2" fillId="4" borderId="18" xfId="0" applyFont="1" applyFill="1" applyBorder="1" applyAlignment="1">
      <alignment horizontal="center"/>
    </xf>
    <xf numFmtId="0" fontId="2" fillId="6" borderId="18" xfId="0" applyFont="1" applyFill="1" applyBorder="1" applyAlignment="1">
      <alignment horizontal="center"/>
    </xf>
    <xf numFmtId="0" fontId="2" fillId="9" borderId="18" xfId="0" applyFont="1" applyFill="1" applyBorder="1" applyAlignment="1">
      <alignment horizont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14" fillId="0" borderId="24" xfId="0" applyFont="1" applyBorder="1" applyAlignment="1">
      <alignment horizontal="left"/>
    </xf>
    <xf numFmtId="0" fontId="12" fillId="0" borderId="25" xfId="0" applyFont="1" applyBorder="1"/>
    <xf numFmtId="0" fontId="12" fillId="0" borderId="26" xfId="0" applyFont="1" applyBorder="1"/>
    <xf numFmtId="0" fontId="7" fillId="7" borderId="0" xfId="0" applyFont="1" applyFill="1" applyAlignment="1">
      <alignment horizontal="center"/>
    </xf>
    <xf numFmtId="0" fontId="8" fillId="0" borderId="0" xfId="0" applyFont="1"/>
    <xf numFmtId="0" fontId="2" fillId="0" borderId="17" xfId="0" applyFont="1" applyBorder="1" applyAlignment="1">
      <alignment horizontal="center" vertical="center"/>
    </xf>
    <xf numFmtId="0" fontId="12" fillId="0" borderId="19" xfId="0" applyFont="1" applyBorder="1"/>
    <xf numFmtId="0" fontId="12" fillId="0" borderId="20" xfId="0" applyFont="1" applyBorder="1"/>
    <xf numFmtId="0" fontId="14" fillId="0" borderId="21" xfId="0" applyFont="1" applyBorder="1" applyAlignment="1">
      <alignment horizontal="left"/>
    </xf>
    <xf numFmtId="0" fontId="12" fillId="0" borderId="22" xfId="0" applyFont="1" applyBorder="1"/>
    <xf numFmtId="0" fontId="12" fillId="0" borderId="23" xfId="0" applyFont="1" applyBorder="1"/>
    <xf numFmtId="0" fontId="2" fillId="0" borderId="24" xfId="0" applyFont="1" applyBorder="1" applyAlignment="1">
      <alignment horizontal="left"/>
    </xf>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212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7B7E6-CCFE-443C-9257-558BD63CB5A4}">
  <dimension ref="A1:I1006"/>
  <sheetViews>
    <sheetView topLeftCell="A25" zoomScale="70" zoomScaleNormal="70" workbookViewId="0">
      <selection activeCell="K15" sqref="K15"/>
    </sheetView>
  </sheetViews>
  <sheetFormatPr defaultColWidth="14.44140625" defaultRowHeight="15.6" x14ac:dyDescent="0.3"/>
  <cols>
    <col min="1" max="1" width="17.33203125" style="4" customWidth="1"/>
    <col min="2" max="2" width="31.6640625" style="4" customWidth="1"/>
    <col min="3" max="3" width="20.21875" style="4" bestFit="1" customWidth="1"/>
    <col min="4" max="4" width="21.109375" style="4" customWidth="1"/>
    <col min="5" max="5" width="35.21875" style="4" bestFit="1" customWidth="1"/>
    <col min="6" max="6" width="34.88671875" style="4" bestFit="1" customWidth="1"/>
    <col min="7" max="7" width="27.5546875" style="4" bestFit="1" customWidth="1"/>
    <col min="8" max="8" width="8.44140625" style="4" customWidth="1"/>
    <col min="9" max="9" width="19.88671875" style="4" customWidth="1"/>
    <col min="10" max="25" width="8.6640625" style="4" customWidth="1"/>
    <col min="26" max="16384" width="14.44140625" style="4"/>
  </cols>
  <sheetData>
    <row r="1" spans="1:9" ht="16.2" thickBot="1" x14ac:dyDescent="0.35">
      <c r="A1" s="1" t="s">
        <v>0</v>
      </c>
      <c r="B1" s="2" t="s">
        <v>22</v>
      </c>
      <c r="G1" s="3"/>
      <c r="H1" s="3"/>
      <c r="I1" s="3"/>
    </row>
    <row r="2" spans="1:9" ht="16.2" thickBot="1" x14ac:dyDescent="0.35">
      <c r="A2" s="1" t="s">
        <v>2</v>
      </c>
      <c r="B2" s="2" t="s">
        <v>143</v>
      </c>
      <c r="C2" s="3"/>
      <c r="D2" s="62" t="s">
        <v>1</v>
      </c>
      <c r="E2" s="63"/>
      <c r="F2" s="64"/>
      <c r="G2" s="3"/>
      <c r="H2" s="3"/>
      <c r="I2" s="3"/>
    </row>
    <row r="3" spans="1:9" ht="16.2" thickBot="1" x14ac:dyDescent="0.35">
      <c r="A3" s="1" t="s">
        <v>3</v>
      </c>
      <c r="B3" s="2" t="s">
        <v>21</v>
      </c>
      <c r="C3" s="3"/>
      <c r="D3" s="3"/>
      <c r="E3" s="3"/>
      <c r="F3" s="3"/>
      <c r="G3" s="3"/>
      <c r="H3" s="3"/>
      <c r="I3" s="3"/>
    </row>
    <row r="4" spans="1:9" ht="16.2" thickBot="1" x14ac:dyDescent="0.35">
      <c r="A4" s="1" t="s">
        <v>4</v>
      </c>
      <c r="B4" s="5">
        <v>45976</v>
      </c>
      <c r="C4" s="6"/>
      <c r="D4" s="3"/>
      <c r="E4" s="3"/>
      <c r="F4" s="3"/>
      <c r="G4" s="3"/>
      <c r="H4" s="3"/>
      <c r="I4" s="3"/>
    </row>
    <row r="5" spans="1:9" ht="16.2" thickBot="1" x14ac:dyDescent="0.35">
      <c r="A5" s="1" t="s">
        <v>5</v>
      </c>
      <c r="B5" s="2" t="s">
        <v>6</v>
      </c>
      <c r="C5" s="3"/>
      <c r="D5" s="59" t="s">
        <v>266</v>
      </c>
      <c r="E5" s="60"/>
      <c r="F5" s="61"/>
      <c r="G5" s="3"/>
      <c r="H5" s="3"/>
      <c r="I5" s="3"/>
    </row>
    <row r="6" spans="1:9" ht="16.2" thickBot="1" x14ac:dyDescent="0.35">
      <c r="A6" s="1" t="s">
        <v>7</v>
      </c>
      <c r="B6" s="32">
        <v>45983</v>
      </c>
      <c r="C6" s="3"/>
      <c r="D6" s="3"/>
      <c r="E6" s="3"/>
      <c r="F6" s="3"/>
      <c r="G6" s="3"/>
      <c r="H6" s="3"/>
      <c r="I6" s="3"/>
    </row>
    <row r="7" spans="1:9" ht="14.25" customHeight="1" thickBot="1" x14ac:dyDescent="0.35">
      <c r="A7" s="8"/>
      <c r="B7" s="8"/>
      <c r="C7" s="8"/>
      <c r="D7" s="8"/>
      <c r="E7" s="8"/>
      <c r="F7" s="8"/>
      <c r="G7" s="8"/>
      <c r="H7" s="8"/>
      <c r="I7" s="8"/>
    </row>
    <row r="8" spans="1:9" ht="16.2" thickBot="1" x14ac:dyDescent="0.35">
      <c r="A8" s="9" t="s">
        <v>8</v>
      </c>
      <c r="B8" s="9" t="s">
        <v>9</v>
      </c>
      <c r="C8" s="27" t="s">
        <v>10</v>
      </c>
      <c r="D8" s="9" t="s">
        <v>11</v>
      </c>
      <c r="E8" s="9" t="s">
        <v>12</v>
      </c>
      <c r="F8" s="9" t="s">
        <v>13</v>
      </c>
      <c r="G8" s="9" t="s">
        <v>14</v>
      </c>
      <c r="H8" s="9" t="s">
        <v>15</v>
      </c>
      <c r="I8" s="9" t="s">
        <v>16</v>
      </c>
    </row>
    <row r="9" spans="1:9" ht="31.8" thickBot="1" x14ac:dyDescent="0.35">
      <c r="A9" s="10" t="s">
        <v>23</v>
      </c>
      <c r="B9" s="15" t="s">
        <v>24</v>
      </c>
      <c r="C9" s="28" t="s">
        <v>144</v>
      </c>
      <c r="D9" s="14" t="s">
        <v>26</v>
      </c>
      <c r="E9" s="18" t="s">
        <v>115</v>
      </c>
      <c r="F9" s="17" t="s">
        <v>25</v>
      </c>
      <c r="G9" s="11" t="s">
        <v>25</v>
      </c>
      <c r="H9" s="20" t="s">
        <v>17</v>
      </c>
      <c r="I9" s="10" t="s">
        <v>229</v>
      </c>
    </row>
    <row r="10" spans="1:9" ht="31.8" thickBot="1" x14ac:dyDescent="0.35">
      <c r="A10" s="10" t="s">
        <v>27</v>
      </c>
      <c r="B10" s="15" t="s">
        <v>24</v>
      </c>
      <c r="C10" s="28" t="s">
        <v>144</v>
      </c>
      <c r="D10" s="14" t="s">
        <v>26</v>
      </c>
      <c r="E10" s="18" t="s">
        <v>116</v>
      </c>
      <c r="F10" s="16" t="s">
        <v>25</v>
      </c>
      <c r="G10" s="13" t="s">
        <v>25</v>
      </c>
      <c r="H10" s="20" t="s">
        <v>17</v>
      </c>
      <c r="I10" s="10" t="s">
        <v>231</v>
      </c>
    </row>
    <row r="11" spans="1:9" ht="31.8" thickBot="1" x14ac:dyDescent="0.35">
      <c r="A11" s="10" t="s">
        <v>28</v>
      </c>
      <c r="B11" s="15" t="s">
        <v>24</v>
      </c>
      <c r="C11" s="28" t="s">
        <v>144</v>
      </c>
      <c r="D11" s="14" t="s">
        <v>26</v>
      </c>
      <c r="E11" s="18" t="s">
        <v>117</v>
      </c>
      <c r="F11" s="17" t="s">
        <v>25</v>
      </c>
      <c r="G11" s="11" t="s">
        <v>25</v>
      </c>
      <c r="H11" s="20" t="s">
        <v>17</v>
      </c>
      <c r="I11" s="10" t="s">
        <v>229</v>
      </c>
    </row>
    <row r="12" spans="1:9" ht="31.8" thickBot="1" x14ac:dyDescent="0.35">
      <c r="A12" s="10" t="s">
        <v>29</v>
      </c>
      <c r="B12" s="15" t="s">
        <v>24</v>
      </c>
      <c r="C12" s="28" t="s">
        <v>144</v>
      </c>
      <c r="D12" s="14" t="s">
        <v>26</v>
      </c>
      <c r="E12" s="18" t="s">
        <v>118</v>
      </c>
      <c r="F12" s="13" t="s">
        <v>25</v>
      </c>
      <c r="G12" s="11" t="s">
        <v>25</v>
      </c>
      <c r="H12" s="20" t="s">
        <v>17</v>
      </c>
      <c r="I12" s="10" t="s">
        <v>233</v>
      </c>
    </row>
    <row r="13" spans="1:9" ht="31.8" thickBot="1" x14ac:dyDescent="0.35">
      <c r="A13" s="10" t="s">
        <v>30</v>
      </c>
      <c r="B13" s="15" t="s">
        <v>24</v>
      </c>
      <c r="C13" s="28" t="s">
        <v>144</v>
      </c>
      <c r="D13" s="14" t="s">
        <v>26</v>
      </c>
      <c r="E13" s="18" t="s">
        <v>210</v>
      </c>
      <c r="F13" s="13" t="s">
        <v>25</v>
      </c>
      <c r="G13" s="13" t="s">
        <v>25</v>
      </c>
      <c r="H13" s="20" t="s">
        <v>17</v>
      </c>
      <c r="I13" s="10" t="s">
        <v>229</v>
      </c>
    </row>
    <row r="14" spans="1:9" ht="31.8" thickBot="1" x14ac:dyDescent="0.35">
      <c r="A14" s="10" t="s">
        <v>31</v>
      </c>
      <c r="B14" s="15" t="s">
        <v>24</v>
      </c>
      <c r="C14" s="28" t="s">
        <v>144</v>
      </c>
      <c r="D14" s="14" t="s">
        <v>26</v>
      </c>
      <c r="E14" s="18" t="s">
        <v>119</v>
      </c>
      <c r="F14" s="13" t="s">
        <v>25</v>
      </c>
      <c r="G14" s="11" t="s">
        <v>25</v>
      </c>
      <c r="H14" s="20" t="s">
        <v>17</v>
      </c>
      <c r="I14" s="10" t="s">
        <v>230</v>
      </c>
    </row>
    <row r="15" spans="1:9" ht="31.8" thickBot="1" x14ac:dyDescent="0.35">
      <c r="A15" s="10" t="s">
        <v>32</v>
      </c>
      <c r="B15" s="15" t="s">
        <v>24</v>
      </c>
      <c r="C15" s="28" t="s">
        <v>144</v>
      </c>
      <c r="D15" s="14" t="s">
        <v>26</v>
      </c>
      <c r="E15" s="18" t="s">
        <v>120</v>
      </c>
      <c r="F15" s="13" t="s">
        <v>25</v>
      </c>
      <c r="G15" s="11" t="s">
        <v>43</v>
      </c>
      <c r="H15" s="10" t="s">
        <v>18</v>
      </c>
      <c r="I15" s="10" t="s">
        <v>241</v>
      </c>
    </row>
    <row r="16" spans="1:9" ht="31.8" thickBot="1" x14ac:dyDescent="0.35">
      <c r="A16" s="10" t="s">
        <v>33</v>
      </c>
      <c r="B16" s="15" t="s">
        <v>24</v>
      </c>
      <c r="C16" s="28" t="s">
        <v>144</v>
      </c>
      <c r="D16" s="14" t="s">
        <v>26</v>
      </c>
      <c r="E16" s="18" t="s">
        <v>121</v>
      </c>
      <c r="F16" s="13" t="s">
        <v>25</v>
      </c>
      <c r="G16" s="11" t="s">
        <v>43</v>
      </c>
      <c r="H16" s="10" t="s">
        <v>18</v>
      </c>
      <c r="I16" s="10" t="s">
        <v>229</v>
      </c>
    </row>
    <row r="17" spans="1:9" ht="31.8" thickBot="1" x14ac:dyDescent="0.35">
      <c r="A17" s="10" t="s">
        <v>34</v>
      </c>
      <c r="B17" s="15" t="s">
        <v>24</v>
      </c>
      <c r="C17" s="28" t="s">
        <v>144</v>
      </c>
      <c r="D17" s="14" t="s">
        <v>26</v>
      </c>
      <c r="E17" s="18" t="s">
        <v>122</v>
      </c>
      <c r="F17" s="13" t="s">
        <v>25</v>
      </c>
      <c r="G17" s="13" t="s">
        <v>25</v>
      </c>
      <c r="H17" s="20" t="s">
        <v>17</v>
      </c>
      <c r="I17" s="10" t="s">
        <v>237</v>
      </c>
    </row>
    <row r="18" spans="1:9" ht="31.8" thickBot="1" x14ac:dyDescent="0.35">
      <c r="A18" s="10" t="s">
        <v>35</v>
      </c>
      <c r="B18" s="15" t="s">
        <v>24</v>
      </c>
      <c r="C18" s="28" t="s">
        <v>144</v>
      </c>
      <c r="D18" s="14" t="s">
        <v>26</v>
      </c>
      <c r="E18" s="18" t="s">
        <v>123</v>
      </c>
      <c r="F18" s="11" t="s">
        <v>43</v>
      </c>
      <c r="G18" s="11" t="s">
        <v>43</v>
      </c>
      <c r="H18" s="20" t="s">
        <v>17</v>
      </c>
      <c r="I18" s="10" t="s">
        <v>239</v>
      </c>
    </row>
    <row r="19" spans="1:9" ht="31.8" thickBot="1" x14ac:dyDescent="0.35">
      <c r="A19" s="10" t="s">
        <v>36</v>
      </c>
      <c r="B19" s="15" t="s">
        <v>24</v>
      </c>
      <c r="C19" s="28" t="s">
        <v>144</v>
      </c>
      <c r="D19" s="14" t="s">
        <v>26</v>
      </c>
      <c r="E19" s="18" t="s">
        <v>124</v>
      </c>
      <c r="F19" s="11" t="s">
        <v>43</v>
      </c>
      <c r="G19" s="11" t="s">
        <v>43</v>
      </c>
      <c r="H19" s="20" t="s">
        <v>17</v>
      </c>
      <c r="I19" s="10" t="s">
        <v>237</v>
      </c>
    </row>
    <row r="20" spans="1:9" ht="31.8" thickBot="1" x14ac:dyDescent="0.35">
      <c r="A20" s="10" t="s">
        <v>37</v>
      </c>
      <c r="B20" s="15" t="s">
        <v>24</v>
      </c>
      <c r="C20" s="28" t="s">
        <v>144</v>
      </c>
      <c r="D20" s="14" t="s">
        <v>26</v>
      </c>
      <c r="E20" s="18" t="s">
        <v>125</v>
      </c>
      <c r="F20" s="11" t="s">
        <v>43</v>
      </c>
      <c r="G20" s="11" t="s">
        <v>43</v>
      </c>
      <c r="H20" s="20" t="s">
        <v>17</v>
      </c>
      <c r="I20" s="10" t="s">
        <v>232</v>
      </c>
    </row>
    <row r="21" spans="1:9" ht="31.8" thickBot="1" x14ac:dyDescent="0.35">
      <c r="A21" s="10" t="s">
        <v>38</v>
      </c>
      <c r="B21" s="15" t="s">
        <v>24</v>
      </c>
      <c r="C21" s="28" t="s">
        <v>144</v>
      </c>
      <c r="D21" s="14" t="s">
        <v>26</v>
      </c>
      <c r="E21" s="18" t="s">
        <v>126</v>
      </c>
      <c r="F21" s="11" t="s">
        <v>43</v>
      </c>
      <c r="G21" s="11" t="s">
        <v>43</v>
      </c>
      <c r="H21" s="20" t="s">
        <v>17</v>
      </c>
      <c r="I21" s="10" t="s">
        <v>232</v>
      </c>
    </row>
    <row r="22" spans="1:9" ht="31.8" thickBot="1" x14ac:dyDescent="0.35">
      <c r="A22" s="10" t="s">
        <v>39</v>
      </c>
      <c r="B22" s="15" t="s">
        <v>24</v>
      </c>
      <c r="C22" s="28" t="s">
        <v>144</v>
      </c>
      <c r="D22" s="14" t="s">
        <v>26</v>
      </c>
      <c r="E22" s="18" t="s">
        <v>127</v>
      </c>
      <c r="F22" s="11" t="s">
        <v>43</v>
      </c>
      <c r="G22" s="11" t="s">
        <v>43</v>
      </c>
      <c r="H22" s="20" t="s">
        <v>17</v>
      </c>
      <c r="I22" s="10" t="s">
        <v>240</v>
      </c>
    </row>
    <row r="23" spans="1:9" ht="31.8" thickBot="1" x14ac:dyDescent="0.35">
      <c r="A23" s="10" t="s">
        <v>40</v>
      </c>
      <c r="B23" s="15" t="s">
        <v>24</v>
      </c>
      <c r="C23" s="28" t="s">
        <v>144</v>
      </c>
      <c r="D23" s="14" t="s">
        <v>26</v>
      </c>
      <c r="E23" s="18" t="s">
        <v>128</v>
      </c>
      <c r="F23" s="11" t="s">
        <v>43</v>
      </c>
      <c r="G23" s="11" t="s">
        <v>43</v>
      </c>
      <c r="H23" s="20" t="s">
        <v>17</v>
      </c>
      <c r="I23" s="10" t="s">
        <v>234</v>
      </c>
    </row>
    <row r="24" spans="1:9" ht="31.8" thickBot="1" x14ac:dyDescent="0.35">
      <c r="A24" s="10" t="s">
        <v>41</v>
      </c>
      <c r="B24" s="15" t="s">
        <v>24</v>
      </c>
      <c r="C24" s="28" t="s">
        <v>144</v>
      </c>
      <c r="D24" s="14" t="s">
        <v>26</v>
      </c>
      <c r="E24" s="18" t="s">
        <v>129</v>
      </c>
      <c r="F24" s="11" t="s">
        <v>43</v>
      </c>
      <c r="G24" s="11" t="s">
        <v>43</v>
      </c>
      <c r="H24" s="20" t="s">
        <v>17</v>
      </c>
      <c r="I24" s="10" t="s">
        <v>238</v>
      </c>
    </row>
    <row r="25" spans="1:9" ht="31.8" thickBot="1" x14ac:dyDescent="0.35">
      <c r="A25" s="10" t="s">
        <v>42</v>
      </c>
      <c r="B25" s="15" t="s">
        <v>24</v>
      </c>
      <c r="C25" s="28" t="s">
        <v>144</v>
      </c>
      <c r="D25" s="14" t="s">
        <v>26</v>
      </c>
      <c r="E25" s="19" t="s">
        <v>130</v>
      </c>
      <c r="F25" s="11" t="s">
        <v>43</v>
      </c>
      <c r="G25" s="11" t="s">
        <v>25</v>
      </c>
      <c r="H25" s="29" t="s">
        <v>18</v>
      </c>
      <c r="I25" s="10" t="s">
        <v>240</v>
      </c>
    </row>
    <row r="26" spans="1:9" ht="31.8" thickBot="1" x14ac:dyDescent="0.35">
      <c r="A26" s="10" t="s">
        <v>211</v>
      </c>
      <c r="B26" s="15" t="s">
        <v>24</v>
      </c>
      <c r="C26" s="28" t="s">
        <v>144</v>
      </c>
      <c r="D26" s="14" t="s">
        <v>26</v>
      </c>
      <c r="E26" s="18" t="s">
        <v>220</v>
      </c>
      <c r="F26" s="11" t="s">
        <v>43</v>
      </c>
      <c r="G26" s="11" t="s">
        <v>43</v>
      </c>
      <c r="H26" s="20" t="s">
        <v>17</v>
      </c>
      <c r="I26" s="10" t="s">
        <v>236</v>
      </c>
    </row>
    <row r="27" spans="1:9" ht="31.8" thickBot="1" x14ac:dyDescent="0.35">
      <c r="A27" s="10" t="s">
        <v>212</v>
      </c>
      <c r="B27" s="15" t="s">
        <v>24</v>
      </c>
      <c r="C27" s="28" t="s">
        <v>144</v>
      </c>
      <c r="D27" s="14" t="s">
        <v>26</v>
      </c>
      <c r="E27" s="18" t="s">
        <v>221</v>
      </c>
      <c r="F27" s="11" t="s">
        <v>43</v>
      </c>
      <c r="G27" s="11" t="s">
        <v>43</v>
      </c>
      <c r="H27" s="20" t="s">
        <v>17</v>
      </c>
      <c r="I27" s="10" t="s">
        <v>234</v>
      </c>
    </row>
    <row r="28" spans="1:9" ht="31.8" thickBot="1" x14ac:dyDescent="0.35">
      <c r="A28" s="10" t="s">
        <v>213</v>
      </c>
      <c r="B28" s="15" t="s">
        <v>24</v>
      </c>
      <c r="C28" s="28" t="s">
        <v>144</v>
      </c>
      <c r="D28" s="14" t="s">
        <v>26</v>
      </c>
      <c r="E28" s="18" t="s">
        <v>222</v>
      </c>
      <c r="F28" s="11" t="s">
        <v>43</v>
      </c>
      <c r="G28" s="11" t="s">
        <v>43</v>
      </c>
      <c r="H28" s="20" t="s">
        <v>17</v>
      </c>
      <c r="I28" s="10" t="s">
        <v>232</v>
      </c>
    </row>
    <row r="29" spans="1:9" ht="31.8" thickBot="1" x14ac:dyDescent="0.35">
      <c r="A29" s="10" t="s">
        <v>214</v>
      </c>
      <c r="B29" s="15" t="s">
        <v>24</v>
      </c>
      <c r="C29" s="28" t="s">
        <v>144</v>
      </c>
      <c r="D29" s="14" t="s">
        <v>26</v>
      </c>
      <c r="E29" s="18" t="s">
        <v>223</v>
      </c>
      <c r="F29" s="11" t="s">
        <v>43</v>
      </c>
      <c r="G29" s="11" t="s">
        <v>43</v>
      </c>
      <c r="H29" s="20" t="s">
        <v>17</v>
      </c>
      <c r="I29" s="10" t="s">
        <v>234</v>
      </c>
    </row>
    <row r="30" spans="1:9" ht="31.8" thickBot="1" x14ac:dyDescent="0.35">
      <c r="A30" s="10" t="s">
        <v>215</v>
      </c>
      <c r="B30" s="15" t="s">
        <v>24</v>
      </c>
      <c r="C30" s="28" t="s">
        <v>144</v>
      </c>
      <c r="D30" s="14" t="s">
        <v>26</v>
      </c>
      <c r="E30" s="18" t="s">
        <v>224</v>
      </c>
      <c r="F30" s="11" t="s">
        <v>43</v>
      </c>
      <c r="G30" s="11" t="s">
        <v>43</v>
      </c>
      <c r="H30" s="20" t="s">
        <v>17</v>
      </c>
      <c r="I30" s="10" t="s">
        <v>240</v>
      </c>
    </row>
    <row r="31" spans="1:9" ht="31.8" thickBot="1" x14ac:dyDescent="0.35">
      <c r="A31" s="10" t="s">
        <v>216</v>
      </c>
      <c r="B31" s="15" t="s">
        <v>24</v>
      </c>
      <c r="C31" s="28" t="s">
        <v>144</v>
      </c>
      <c r="D31" s="14" t="s">
        <v>26</v>
      </c>
      <c r="E31" s="18" t="s">
        <v>225</v>
      </c>
      <c r="F31" s="11" t="s">
        <v>43</v>
      </c>
      <c r="G31" s="11" t="s">
        <v>43</v>
      </c>
      <c r="H31" s="20" t="s">
        <v>17</v>
      </c>
      <c r="I31" s="10" t="s">
        <v>240</v>
      </c>
    </row>
    <row r="32" spans="1:9" ht="31.8" thickBot="1" x14ac:dyDescent="0.35">
      <c r="A32" s="10" t="s">
        <v>217</v>
      </c>
      <c r="B32" s="15" t="s">
        <v>24</v>
      </c>
      <c r="C32" s="28" t="s">
        <v>144</v>
      </c>
      <c r="D32" s="14" t="s">
        <v>26</v>
      </c>
      <c r="E32" s="18" t="s">
        <v>226</v>
      </c>
      <c r="F32" s="11" t="s">
        <v>43</v>
      </c>
      <c r="G32" s="11" t="s">
        <v>43</v>
      </c>
      <c r="H32" s="20" t="s">
        <v>17</v>
      </c>
      <c r="I32" s="10" t="s">
        <v>235</v>
      </c>
    </row>
    <row r="33" spans="1:9" ht="31.8" thickBot="1" x14ac:dyDescent="0.35">
      <c r="A33" s="10" t="s">
        <v>218</v>
      </c>
      <c r="B33" s="15" t="s">
        <v>24</v>
      </c>
      <c r="C33" s="28" t="s">
        <v>144</v>
      </c>
      <c r="D33" s="14" t="s">
        <v>26</v>
      </c>
      <c r="E33" s="18" t="s">
        <v>227</v>
      </c>
      <c r="F33" s="11" t="s">
        <v>43</v>
      </c>
      <c r="G33" s="11" t="s">
        <v>43</v>
      </c>
      <c r="H33" s="20" t="s">
        <v>17</v>
      </c>
      <c r="I33" s="10" t="s">
        <v>232</v>
      </c>
    </row>
    <row r="34" spans="1:9" ht="31.8" thickBot="1" x14ac:dyDescent="0.35">
      <c r="A34" s="10" t="s">
        <v>219</v>
      </c>
      <c r="B34" s="15" t="s">
        <v>24</v>
      </c>
      <c r="C34" s="28" t="s">
        <v>144</v>
      </c>
      <c r="D34" s="14" t="s">
        <v>26</v>
      </c>
      <c r="E34" s="18" t="s">
        <v>228</v>
      </c>
      <c r="F34" s="11" t="s">
        <v>43</v>
      </c>
      <c r="G34" s="11" t="s">
        <v>43</v>
      </c>
      <c r="H34" s="20" t="s">
        <v>17</v>
      </c>
      <c r="I34" s="10" t="s">
        <v>240</v>
      </c>
    </row>
    <row r="35" spans="1:9" x14ac:dyDescent="0.3">
      <c r="A35" s="12"/>
      <c r="B35" s="12"/>
      <c r="C35" s="12"/>
      <c r="D35" s="12"/>
      <c r="E35" s="12"/>
      <c r="F35" s="12"/>
      <c r="G35" s="21" t="s">
        <v>17</v>
      </c>
      <c r="H35" s="22">
        <f>COUNTIF(H9:H34,"Pass")</f>
        <v>23</v>
      </c>
      <c r="I35" s="12"/>
    </row>
    <row r="36" spans="1:9" x14ac:dyDescent="0.3">
      <c r="A36" s="12"/>
      <c r="B36" s="12"/>
      <c r="C36" s="12"/>
      <c r="D36" s="12"/>
      <c r="E36" s="12"/>
      <c r="F36" s="12"/>
      <c r="G36" s="21" t="s">
        <v>18</v>
      </c>
      <c r="H36" s="22">
        <f>COUNTIF(H9:H34,"Fail")</f>
        <v>3</v>
      </c>
      <c r="I36" s="12"/>
    </row>
    <row r="37" spans="1:9" x14ac:dyDescent="0.3">
      <c r="A37" s="12"/>
      <c r="B37" s="12"/>
      <c r="C37" s="12"/>
      <c r="D37" s="12"/>
      <c r="E37" s="12"/>
      <c r="F37" s="12"/>
      <c r="G37" s="23" t="s">
        <v>19</v>
      </c>
      <c r="H37" s="24">
        <f>COUNTIF(H9:H34,"Pending")</f>
        <v>0</v>
      </c>
      <c r="I37" s="12"/>
    </row>
    <row r="38" spans="1:9" x14ac:dyDescent="0.3">
      <c r="A38" s="12"/>
      <c r="B38" s="12"/>
      <c r="C38" s="12"/>
      <c r="D38" s="12"/>
      <c r="E38" s="12"/>
      <c r="F38" s="12"/>
      <c r="G38" s="22" t="s">
        <v>20</v>
      </c>
      <c r="H38" s="22">
        <f>SUM(H35:H37)</f>
        <v>26</v>
      </c>
      <c r="I38" s="12"/>
    </row>
    <row r="39" spans="1:9" ht="14.25" customHeight="1" x14ac:dyDescent="0.3">
      <c r="A39" s="12"/>
      <c r="B39" s="12"/>
      <c r="C39" s="12"/>
      <c r="D39" s="12"/>
      <c r="E39" s="12"/>
      <c r="F39" s="12"/>
      <c r="G39" s="12"/>
      <c r="H39" s="12"/>
      <c r="I39" s="12"/>
    </row>
    <row r="40" spans="1:9" ht="14.25" customHeight="1" x14ac:dyDescent="0.3">
      <c r="A40" s="12"/>
      <c r="B40" s="12"/>
      <c r="C40" s="12"/>
      <c r="D40" s="12"/>
      <c r="E40" s="12"/>
      <c r="F40" s="12"/>
      <c r="G40" s="12"/>
      <c r="H40" s="12"/>
      <c r="I40" s="12"/>
    </row>
    <row r="41" spans="1:9" ht="14.25" customHeight="1" x14ac:dyDescent="0.3">
      <c r="A41" s="12"/>
      <c r="B41" s="12"/>
      <c r="C41" s="12"/>
      <c r="D41" s="12"/>
      <c r="E41" s="12"/>
      <c r="F41" s="12"/>
      <c r="G41" s="12"/>
      <c r="H41" s="12"/>
      <c r="I41" s="12"/>
    </row>
    <row r="42" spans="1:9" ht="14.25" customHeight="1" x14ac:dyDescent="0.3">
      <c r="A42" s="12"/>
      <c r="B42" s="12"/>
      <c r="C42" s="12"/>
      <c r="D42" s="12"/>
      <c r="E42" s="12"/>
      <c r="F42" s="12"/>
      <c r="G42" s="12"/>
      <c r="H42" s="12"/>
      <c r="I42" s="12"/>
    </row>
    <row r="43" spans="1:9" ht="14.25" customHeight="1" x14ac:dyDescent="0.3">
      <c r="A43" s="12"/>
      <c r="B43" s="12"/>
      <c r="C43" s="12"/>
      <c r="D43" s="12"/>
      <c r="E43" s="12"/>
      <c r="F43" s="12"/>
      <c r="G43" s="12"/>
      <c r="H43" s="12"/>
      <c r="I43" s="12"/>
    </row>
    <row r="44" spans="1:9" ht="14.25" customHeight="1" x14ac:dyDescent="0.3">
      <c r="A44" s="12"/>
      <c r="B44" s="12"/>
      <c r="C44" s="12"/>
      <c r="D44" s="12"/>
      <c r="E44" s="12"/>
      <c r="F44" s="12"/>
      <c r="G44" s="12"/>
      <c r="H44" s="12"/>
      <c r="I44" s="12"/>
    </row>
    <row r="45" spans="1:9" ht="14.25" customHeight="1" x14ac:dyDescent="0.3"/>
    <row r="46" spans="1:9" ht="14.25" customHeight="1" x14ac:dyDescent="0.3"/>
    <row r="47" spans="1:9" ht="14.25" customHeight="1" x14ac:dyDescent="0.3"/>
    <row r="48" spans="1:9"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sheetData>
  <mergeCells count="2">
    <mergeCell ref="D5:F5"/>
    <mergeCell ref="D2:F2"/>
  </mergeCells>
  <conditionalFormatting sqref="H9:H34">
    <cfRule type="cellIs" dxfId="7" priority="1" operator="equal">
      <formula>"Fail"</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69818-F952-4ECB-9D69-2F37B006D5B5}">
  <dimension ref="A1:I993"/>
  <sheetViews>
    <sheetView topLeftCell="A21" zoomScale="70" zoomScaleNormal="70" workbookViewId="0">
      <selection activeCell="E16" sqref="E16"/>
    </sheetView>
  </sheetViews>
  <sheetFormatPr defaultColWidth="14.44140625" defaultRowHeight="15.6" x14ac:dyDescent="0.3"/>
  <cols>
    <col min="1" max="1" width="17.33203125" style="4" customWidth="1"/>
    <col min="2" max="2" width="29.44140625" style="4" customWidth="1"/>
    <col min="3" max="3" width="20.21875" style="4" bestFit="1" customWidth="1"/>
    <col min="4" max="4" width="26.6640625" style="4" customWidth="1"/>
    <col min="5" max="5" width="35.21875" style="4" bestFit="1" customWidth="1"/>
    <col min="6" max="6" width="34.88671875" style="4" bestFit="1" customWidth="1"/>
    <col min="7" max="7" width="35" style="4" customWidth="1"/>
    <col min="8" max="8" width="8.44140625" style="4" customWidth="1"/>
    <col min="9" max="9" width="19.88671875" style="4" customWidth="1"/>
    <col min="10" max="26" width="8.6640625" style="4" customWidth="1"/>
    <col min="27" max="16384" width="14.44140625" style="4"/>
  </cols>
  <sheetData>
    <row r="1" spans="1:9" ht="16.2" thickBot="1" x14ac:dyDescent="0.35">
      <c r="A1" s="1" t="s">
        <v>0</v>
      </c>
      <c r="B1" s="2" t="s">
        <v>22</v>
      </c>
      <c r="E1" s="30"/>
      <c r="F1" s="31"/>
      <c r="G1" s="3"/>
      <c r="H1" s="3"/>
      <c r="I1" s="3"/>
    </row>
    <row r="2" spans="1:9" ht="16.2" thickBot="1" x14ac:dyDescent="0.35">
      <c r="A2" s="1" t="s">
        <v>2</v>
      </c>
      <c r="B2" s="2" t="s">
        <v>44</v>
      </c>
      <c r="C2" s="3"/>
      <c r="D2" s="62" t="s">
        <v>1</v>
      </c>
      <c r="E2" s="63"/>
      <c r="F2" s="64"/>
      <c r="G2" s="3"/>
      <c r="H2" s="3"/>
      <c r="I2" s="3"/>
    </row>
    <row r="3" spans="1:9" ht="16.2" thickBot="1" x14ac:dyDescent="0.35">
      <c r="A3" s="1" t="s">
        <v>3</v>
      </c>
      <c r="B3" s="2" t="s">
        <v>21</v>
      </c>
      <c r="C3" s="3"/>
      <c r="D3" s="3"/>
      <c r="E3" s="3"/>
      <c r="F3" s="3"/>
      <c r="G3" s="3"/>
      <c r="H3" s="3"/>
      <c r="I3" s="3"/>
    </row>
    <row r="4" spans="1:9" ht="16.2" thickBot="1" x14ac:dyDescent="0.35">
      <c r="A4" s="1" t="s">
        <v>4</v>
      </c>
      <c r="B4" s="5">
        <v>45976</v>
      </c>
      <c r="C4" s="6"/>
      <c r="D4" s="3"/>
      <c r="E4" s="3"/>
      <c r="F4" s="3"/>
      <c r="G4" s="3"/>
      <c r="H4" s="3"/>
      <c r="I4" s="3"/>
    </row>
    <row r="5" spans="1:9" ht="16.2" thickBot="1" x14ac:dyDescent="0.35">
      <c r="A5" s="1" t="s">
        <v>5</v>
      </c>
      <c r="B5" s="2" t="s">
        <v>6</v>
      </c>
      <c r="C5" s="3"/>
      <c r="D5" s="59" t="s">
        <v>266</v>
      </c>
      <c r="E5" s="60"/>
      <c r="F5" s="61"/>
      <c r="G5" s="3"/>
      <c r="H5" s="3"/>
      <c r="I5" s="3"/>
    </row>
    <row r="6" spans="1:9" ht="16.2" thickBot="1" x14ac:dyDescent="0.35">
      <c r="A6" s="1" t="s">
        <v>7</v>
      </c>
      <c r="B6" s="32">
        <v>45983</v>
      </c>
      <c r="C6" s="7"/>
      <c r="D6" s="3"/>
      <c r="E6" s="3"/>
      <c r="F6" s="3"/>
      <c r="G6" s="3"/>
      <c r="H6" s="3"/>
      <c r="I6" s="3"/>
    </row>
    <row r="7" spans="1:9" ht="14.25" customHeight="1" thickBot="1" x14ac:dyDescent="0.35">
      <c r="A7" s="8"/>
      <c r="B7" s="8"/>
      <c r="C7" s="8"/>
      <c r="D7" s="8"/>
      <c r="E7" s="8"/>
      <c r="F7" s="8"/>
      <c r="G7" s="8"/>
      <c r="H7" s="8"/>
      <c r="I7" s="8"/>
    </row>
    <row r="8" spans="1:9" ht="16.2" thickBot="1" x14ac:dyDescent="0.35">
      <c r="A8" s="9" t="s">
        <v>8</v>
      </c>
      <c r="B8" s="9" t="s">
        <v>9</v>
      </c>
      <c r="C8" s="9" t="s">
        <v>10</v>
      </c>
      <c r="D8" s="27" t="s">
        <v>11</v>
      </c>
      <c r="E8" s="9" t="s">
        <v>12</v>
      </c>
      <c r="F8" s="9" t="s">
        <v>13</v>
      </c>
      <c r="G8" s="9" t="s">
        <v>14</v>
      </c>
      <c r="H8" s="9" t="s">
        <v>15</v>
      </c>
      <c r="I8" s="9" t="s">
        <v>16</v>
      </c>
    </row>
    <row r="9" spans="1:9" ht="47.4" customHeight="1" thickBot="1" x14ac:dyDescent="0.35">
      <c r="A9" s="10" t="s">
        <v>45</v>
      </c>
      <c r="B9" s="15" t="s">
        <v>57</v>
      </c>
      <c r="C9" s="28" t="s">
        <v>144</v>
      </c>
      <c r="D9" s="14" t="s">
        <v>55</v>
      </c>
      <c r="E9" s="26" t="s">
        <v>56</v>
      </c>
      <c r="F9" s="16" t="s">
        <v>76</v>
      </c>
      <c r="G9" s="16" t="s">
        <v>76</v>
      </c>
      <c r="H9" s="20" t="s">
        <v>17</v>
      </c>
      <c r="I9" s="10" t="s">
        <v>229</v>
      </c>
    </row>
    <row r="10" spans="1:9" ht="47.4" thickBot="1" x14ac:dyDescent="0.35">
      <c r="A10" s="10" t="s">
        <v>46</v>
      </c>
      <c r="B10" s="15" t="s">
        <v>58</v>
      </c>
      <c r="C10" s="28" t="s">
        <v>144</v>
      </c>
      <c r="D10" s="14" t="s">
        <v>55</v>
      </c>
      <c r="E10" s="26" t="s">
        <v>56</v>
      </c>
      <c r="F10" s="16" t="s">
        <v>75</v>
      </c>
      <c r="G10" s="16" t="s">
        <v>75</v>
      </c>
      <c r="H10" s="20" t="s">
        <v>17</v>
      </c>
      <c r="I10" s="10" t="s">
        <v>229</v>
      </c>
    </row>
    <row r="11" spans="1:9" ht="47.4" thickBot="1" x14ac:dyDescent="0.35">
      <c r="A11" s="10" t="s">
        <v>47</v>
      </c>
      <c r="B11" s="15" t="s">
        <v>59</v>
      </c>
      <c r="C11" s="28" t="s">
        <v>144</v>
      </c>
      <c r="D11" s="14" t="s">
        <v>55</v>
      </c>
      <c r="E11" s="26" t="s">
        <v>56</v>
      </c>
      <c r="F11" s="16" t="s">
        <v>74</v>
      </c>
      <c r="G11" s="16" t="s">
        <v>74</v>
      </c>
      <c r="H11" s="20" t="s">
        <v>17</v>
      </c>
      <c r="I11" s="10" t="s">
        <v>229</v>
      </c>
    </row>
    <row r="12" spans="1:9" ht="47.4" thickBot="1" x14ac:dyDescent="0.35">
      <c r="A12" s="10" t="s">
        <v>48</v>
      </c>
      <c r="B12" s="15" t="s">
        <v>60</v>
      </c>
      <c r="C12" s="28" t="s">
        <v>144</v>
      </c>
      <c r="D12" s="14" t="s">
        <v>55</v>
      </c>
      <c r="E12" s="26" t="s">
        <v>56</v>
      </c>
      <c r="F12" s="16" t="s">
        <v>73</v>
      </c>
      <c r="G12" s="16" t="s">
        <v>73</v>
      </c>
      <c r="H12" s="20" t="s">
        <v>17</v>
      </c>
      <c r="I12" s="10" t="s">
        <v>229</v>
      </c>
    </row>
    <row r="13" spans="1:9" ht="47.4" thickBot="1" x14ac:dyDescent="0.35">
      <c r="A13" s="10" t="s">
        <v>49</v>
      </c>
      <c r="B13" s="15" t="s">
        <v>61</v>
      </c>
      <c r="C13" s="28" t="s">
        <v>144</v>
      </c>
      <c r="D13" s="14" t="s">
        <v>55</v>
      </c>
      <c r="E13" s="26" t="s">
        <v>56</v>
      </c>
      <c r="F13" s="16" t="s">
        <v>71</v>
      </c>
      <c r="G13" s="16" t="s">
        <v>71</v>
      </c>
      <c r="H13" s="20" t="s">
        <v>17</v>
      </c>
      <c r="I13" s="10" t="s">
        <v>229</v>
      </c>
    </row>
    <row r="14" spans="1:9" ht="47.4" thickBot="1" x14ac:dyDescent="0.35">
      <c r="A14" s="10" t="s">
        <v>50</v>
      </c>
      <c r="B14" s="15" t="s">
        <v>62</v>
      </c>
      <c r="C14" s="28" t="s">
        <v>144</v>
      </c>
      <c r="D14" s="14" t="s">
        <v>55</v>
      </c>
      <c r="E14" s="26" t="s">
        <v>56</v>
      </c>
      <c r="F14" s="16" t="s">
        <v>72</v>
      </c>
      <c r="G14" s="16" t="s">
        <v>72</v>
      </c>
      <c r="H14" s="20" t="s">
        <v>17</v>
      </c>
      <c r="I14" s="10" t="s">
        <v>229</v>
      </c>
    </row>
    <row r="15" spans="1:9" ht="47.4" thickBot="1" x14ac:dyDescent="0.35">
      <c r="A15" s="10" t="s">
        <v>51</v>
      </c>
      <c r="B15" s="15" t="s">
        <v>63</v>
      </c>
      <c r="C15" s="28" t="s">
        <v>144</v>
      </c>
      <c r="D15" s="14" t="s">
        <v>55</v>
      </c>
      <c r="E15" s="26" t="s">
        <v>56</v>
      </c>
      <c r="F15" s="16" t="s">
        <v>70</v>
      </c>
      <c r="G15" s="16" t="s">
        <v>70</v>
      </c>
      <c r="H15" s="20" t="s">
        <v>17</v>
      </c>
      <c r="I15" s="10" t="s">
        <v>229</v>
      </c>
    </row>
    <row r="16" spans="1:9" ht="47.4" thickBot="1" x14ac:dyDescent="0.35">
      <c r="A16" s="10" t="s">
        <v>52</v>
      </c>
      <c r="B16" s="15" t="s">
        <v>64</v>
      </c>
      <c r="C16" s="28" t="s">
        <v>144</v>
      </c>
      <c r="D16" s="14" t="s">
        <v>55</v>
      </c>
      <c r="E16" s="26" t="s">
        <v>56</v>
      </c>
      <c r="F16" s="16" t="s">
        <v>69</v>
      </c>
      <c r="G16" s="16" t="s">
        <v>69</v>
      </c>
      <c r="H16" s="20" t="s">
        <v>17</v>
      </c>
      <c r="I16" s="10" t="s">
        <v>229</v>
      </c>
    </row>
    <row r="17" spans="1:9" ht="47.4" thickBot="1" x14ac:dyDescent="0.35">
      <c r="A17" s="10" t="s">
        <v>53</v>
      </c>
      <c r="B17" s="15" t="s">
        <v>65</v>
      </c>
      <c r="C17" s="28" t="s">
        <v>144</v>
      </c>
      <c r="D17" s="14" t="s">
        <v>55</v>
      </c>
      <c r="E17" s="26" t="s">
        <v>56</v>
      </c>
      <c r="F17" s="16" t="s">
        <v>68</v>
      </c>
      <c r="G17" s="16" t="s">
        <v>68</v>
      </c>
      <c r="H17" s="20" t="s">
        <v>17</v>
      </c>
      <c r="I17" s="10" t="s">
        <v>229</v>
      </c>
    </row>
    <row r="18" spans="1:9" ht="47.4" thickBot="1" x14ac:dyDescent="0.35">
      <c r="A18" s="10" t="s">
        <v>54</v>
      </c>
      <c r="B18" s="15" t="s">
        <v>66</v>
      </c>
      <c r="C18" s="28" t="s">
        <v>144</v>
      </c>
      <c r="D18" s="14" t="s">
        <v>55</v>
      </c>
      <c r="E18" s="26" t="s">
        <v>56</v>
      </c>
      <c r="F18" s="16" t="s">
        <v>67</v>
      </c>
      <c r="G18" s="16" t="s">
        <v>67</v>
      </c>
      <c r="H18" s="20" t="s">
        <v>17</v>
      </c>
      <c r="I18" s="10" t="s">
        <v>229</v>
      </c>
    </row>
    <row r="19" spans="1:9" ht="47.4" thickBot="1" x14ac:dyDescent="0.35">
      <c r="A19" s="10" t="s">
        <v>77</v>
      </c>
      <c r="B19" s="15" t="s">
        <v>85</v>
      </c>
      <c r="C19" s="28" t="s">
        <v>144</v>
      </c>
      <c r="D19" s="14" t="s">
        <v>55</v>
      </c>
      <c r="E19" s="26" t="s">
        <v>56</v>
      </c>
      <c r="F19" s="16" t="s">
        <v>86</v>
      </c>
      <c r="G19" s="16" t="s">
        <v>87</v>
      </c>
      <c r="H19" s="20" t="s">
        <v>18</v>
      </c>
      <c r="I19" s="10" t="s">
        <v>231</v>
      </c>
    </row>
    <row r="20" spans="1:9" ht="47.4" thickBot="1" x14ac:dyDescent="0.35">
      <c r="A20" s="10" t="s">
        <v>78</v>
      </c>
      <c r="B20" s="15" t="s">
        <v>88</v>
      </c>
      <c r="C20" s="28" t="s">
        <v>144</v>
      </c>
      <c r="D20" s="14" t="s">
        <v>55</v>
      </c>
      <c r="E20" s="26" t="s">
        <v>56</v>
      </c>
      <c r="F20" s="16" t="s">
        <v>87</v>
      </c>
      <c r="G20" s="16" t="s">
        <v>87</v>
      </c>
      <c r="H20" s="20" t="s">
        <v>17</v>
      </c>
      <c r="I20" s="10" t="s">
        <v>235</v>
      </c>
    </row>
    <row r="21" spans="1:9" ht="47.4" thickBot="1" x14ac:dyDescent="0.35">
      <c r="A21" s="10" t="s">
        <v>79</v>
      </c>
      <c r="B21" s="15" t="s">
        <v>89</v>
      </c>
      <c r="C21" s="28" t="s">
        <v>144</v>
      </c>
      <c r="D21" s="14" t="s">
        <v>55</v>
      </c>
      <c r="E21" s="26" t="s">
        <v>56</v>
      </c>
      <c r="F21" s="16" t="s">
        <v>87</v>
      </c>
      <c r="G21" s="16" t="s">
        <v>87</v>
      </c>
      <c r="H21" s="20" t="s">
        <v>17</v>
      </c>
      <c r="I21" s="10" t="s">
        <v>235</v>
      </c>
    </row>
    <row r="22" spans="1:9" ht="47.4" thickBot="1" x14ac:dyDescent="0.35">
      <c r="A22" s="10" t="s">
        <v>80</v>
      </c>
      <c r="B22" s="15" t="s">
        <v>90</v>
      </c>
      <c r="C22" s="28" t="s">
        <v>144</v>
      </c>
      <c r="D22" s="14" t="s">
        <v>55</v>
      </c>
      <c r="E22" s="26" t="s">
        <v>56</v>
      </c>
      <c r="F22" s="16" t="s">
        <v>91</v>
      </c>
      <c r="G22" s="16" t="s">
        <v>87</v>
      </c>
      <c r="H22" s="20" t="s">
        <v>18</v>
      </c>
      <c r="I22" s="10" t="s">
        <v>232</v>
      </c>
    </row>
    <row r="23" spans="1:9" ht="47.4" thickBot="1" x14ac:dyDescent="0.35">
      <c r="A23" s="10" t="s">
        <v>81</v>
      </c>
      <c r="B23" s="15" t="s">
        <v>92</v>
      </c>
      <c r="C23" s="28" t="s">
        <v>144</v>
      </c>
      <c r="D23" s="14" t="s">
        <v>55</v>
      </c>
      <c r="E23" s="26" t="s">
        <v>56</v>
      </c>
      <c r="F23" s="16" t="s">
        <v>91</v>
      </c>
      <c r="G23" s="16" t="s">
        <v>87</v>
      </c>
      <c r="H23" s="20" t="s">
        <v>18</v>
      </c>
      <c r="I23" s="10" t="s">
        <v>232</v>
      </c>
    </row>
    <row r="24" spans="1:9" ht="47.4" thickBot="1" x14ac:dyDescent="0.35">
      <c r="A24" s="10" t="s">
        <v>82</v>
      </c>
      <c r="B24" s="15" t="s">
        <v>93</v>
      </c>
      <c r="C24" s="28" t="s">
        <v>144</v>
      </c>
      <c r="D24" s="14" t="s">
        <v>55</v>
      </c>
      <c r="E24" s="26" t="s">
        <v>56</v>
      </c>
      <c r="F24" s="16" t="s">
        <v>94</v>
      </c>
      <c r="G24" s="16" t="s">
        <v>87</v>
      </c>
      <c r="H24" s="20" t="s">
        <v>18</v>
      </c>
      <c r="I24" s="10" t="s">
        <v>230</v>
      </c>
    </row>
    <row r="25" spans="1:9" ht="47.4" thickBot="1" x14ac:dyDescent="0.35">
      <c r="A25" s="10" t="s">
        <v>83</v>
      </c>
      <c r="B25" s="15" t="s">
        <v>97</v>
      </c>
      <c r="C25" s="28" t="s">
        <v>144</v>
      </c>
      <c r="D25" s="14" t="s">
        <v>55</v>
      </c>
      <c r="E25" s="26" t="s">
        <v>56</v>
      </c>
      <c r="F25" s="16" t="s">
        <v>95</v>
      </c>
      <c r="G25" s="16" t="s">
        <v>96</v>
      </c>
      <c r="H25" s="20" t="s">
        <v>18</v>
      </c>
      <c r="I25" s="10" t="s">
        <v>233</v>
      </c>
    </row>
    <row r="26" spans="1:9" ht="47.4" thickBot="1" x14ac:dyDescent="0.35">
      <c r="A26" s="10" t="s">
        <v>84</v>
      </c>
      <c r="B26" s="15" t="s">
        <v>98</v>
      </c>
      <c r="C26" s="28" t="s">
        <v>144</v>
      </c>
      <c r="D26" s="14" t="s">
        <v>55</v>
      </c>
      <c r="E26" s="26" t="s">
        <v>56</v>
      </c>
      <c r="F26" s="16" t="s">
        <v>87</v>
      </c>
      <c r="G26" s="16" t="s">
        <v>87</v>
      </c>
      <c r="H26" s="20" t="s">
        <v>17</v>
      </c>
      <c r="I26" s="10" t="s">
        <v>237</v>
      </c>
    </row>
    <row r="27" spans="1:9" ht="14.25" customHeight="1" x14ac:dyDescent="0.3">
      <c r="A27" s="12"/>
      <c r="B27" s="12"/>
      <c r="C27" s="12"/>
      <c r="D27" s="12"/>
      <c r="E27" s="12"/>
      <c r="F27" s="12"/>
      <c r="G27" s="21" t="s">
        <v>17</v>
      </c>
      <c r="H27" s="22">
        <f>COUNTIF(H9:H26,"Pass")</f>
        <v>13</v>
      </c>
      <c r="I27" s="12"/>
    </row>
    <row r="28" spans="1:9" ht="14.25" customHeight="1" x14ac:dyDescent="0.3">
      <c r="A28" s="12"/>
      <c r="B28" s="12"/>
      <c r="C28" s="12"/>
      <c r="D28" s="12"/>
      <c r="E28" s="12"/>
      <c r="F28" s="12"/>
      <c r="G28" s="21" t="s">
        <v>18</v>
      </c>
      <c r="H28" s="22">
        <f>COUNTIF(H9:H26,"Fail")</f>
        <v>5</v>
      </c>
      <c r="I28" s="12"/>
    </row>
    <row r="29" spans="1:9" ht="14.25" customHeight="1" x14ac:dyDescent="0.3">
      <c r="A29" s="12"/>
      <c r="B29" s="12"/>
      <c r="C29" s="12"/>
      <c r="D29" s="12"/>
      <c r="E29" s="12"/>
      <c r="F29" s="12"/>
      <c r="G29" s="23" t="s">
        <v>19</v>
      </c>
      <c r="H29" s="24">
        <f>COUNTIF(H10:H26,"Pending")</f>
        <v>0</v>
      </c>
      <c r="I29" s="12"/>
    </row>
    <row r="30" spans="1:9" ht="14.25" customHeight="1" x14ac:dyDescent="0.3">
      <c r="G30" s="22" t="s">
        <v>20</v>
      </c>
      <c r="H30" s="22">
        <f>SUM(H27:H29)</f>
        <v>18</v>
      </c>
    </row>
    <row r="31" spans="1:9" ht="14.25" customHeight="1" x14ac:dyDescent="0.3"/>
    <row r="32" spans="1:9" ht="14.25" customHeight="1" x14ac:dyDescent="0.3"/>
    <row r="33" s="4" customFormat="1" ht="14.25" customHeight="1" x14ac:dyDescent="0.3"/>
    <row r="34" s="4" customFormat="1" ht="14.25" customHeight="1" x14ac:dyDescent="0.3"/>
    <row r="35" s="4" customFormat="1" ht="14.25" customHeight="1" x14ac:dyDescent="0.3"/>
    <row r="36" s="4" customFormat="1" ht="14.25" customHeight="1" x14ac:dyDescent="0.3"/>
    <row r="37" s="4" customFormat="1" ht="14.25" customHeight="1" x14ac:dyDescent="0.3"/>
    <row r="38" s="4" customFormat="1" ht="14.25" customHeight="1" x14ac:dyDescent="0.3"/>
    <row r="39" s="4" customFormat="1" ht="14.25" customHeight="1" x14ac:dyDescent="0.3"/>
    <row r="40" s="4" customFormat="1" ht="14.25" customHeight="1" x14ac:dyDescent="0.3"/>
    <row r="41" s="4" customFormat="1" ht="14.25" customHeight="1" x14ac:dyDescent="0.3"/>
    <row r="42" s="4" customFormat="1" ht="14.25" customHeight="1" x14ac:dyDescent="0.3"/>
    <row r="43" s="4" customFormat="1" ht="14.25" customHeight="1" x14ac:dyDescent="0.3"/>
    <row r="44" s="4" customFormat="1" ht="14.25" customHeight="1" x14ac:dyDescent="0.3"/>
    <row r="45" s="4" customFormat="1" ht="14.25" customHeight="1" x14ac:dyDescent="0.3"/>
    <row r="46" s="4" customFormat="1" ht="14.25" customHeight="1" x14ac:dyDescent="0.3"/>
    <row r="47" s="4" customFormat="1" ht="14.25" customHeight="1" x14ac:dyDescent="0.3"/>
    <row r="48" s="4" customFormat="1" ht="14.25" customHeight="1" x14ac:dyDescent="0.3"/>
    <row r="49" s="4" customFormat="1" ht="14.25" customHeight="1" x14ac:dyDescent="0.3"/>
    <row r="50" s="4" customFormat="1" ht="14.25" customHeight="1" x14ac:dyDescent="0.3"/>
    <row r="51" s="4" customFormat="1" ht="14.25" customHeight="1" x14ac:dyDescent="0.3"/>
    <row r="52" s="4" customFormat="1" ht="14.25" customHeight="1" x14ac:dyDescent="0.3"/>
    <row r="53" s="4" customFormat="1" ht="14.25" customHeight="1" x14ac:dyDescent="0.3"/>
    <row r="54" s="4" customFormat="1" ht="14.25" customHeight="1" x14ac:dyDescent="0.3"/>
    <row r="55" s="4" customFormat="1" ht="14.25" customHeight="1" x14ac:dyDescent="0.3"/>
    <row r="56" s="4" customFormat="1" ht="14.25" customHeight="1" x14ac:dyDescent="0.3"/>
    <row r="57" s="4" customFormat="1" ht="14.25" customHeight="1" x14ac:dyDescent="0.3"/>
    <row r="58" s="4" customFormat="1" ht="14.25" customHeight="1" x14ac:dyDescent="0.3"/>
    <row r="59" s="4" customFormat="1" ht="14.25" customHeight="1" x14ac:dyDescent="0.3"/>
    <row r="60" s="4" customFormat="1" ht="14.25" customHeight="1" x14ac:dyDescent="0.3"/>
    <row r="61" s="4" customFormat="1" ht="14.25" customHeight="1" x14ac:dyDescent="0.3"/>
    <row r="62" s="4" customFormat="1" ht="14.25" customHeight="1" x14ac:dyDescent="0.3"/>
    <row r="63" s="4" customFormat="1" ht="14.25" customHeight="1" x14ac:dyDescent="0.3"/>
    <row r="64" s="4" customFormat="1" ht="14.25" customHeight="1" x14ac:dyDescent="0.3"/>
    <row r="65" s="4" customFormat="1" ht="14.25" customHeight="1" x14ac:dyDescent="0.3"/>
    <row r="66" s="4" customFormat="1" ht="14.25" customHeight="1" x14ac:dyDescent="0.3"/>
    <row r="67" s="4" customFormat="1" ht="14.25" customHeight="1" x14ac:dyDescent="0.3"/>
    <row r="68" s="4" customFormat="1" ht="14.25" customHeight="1" x14ac:dyDescent="0.3"/>
    <row r="69" s="4" customFormat="1" ht="14.25" customHeight="1" x14ac:dyDescent="0.3"/>
    <row r="70" s="4" customFormat="1" ht="14.25" customHeight="1" x14ac:dyDescent="0.3"/>
    <row r="71" s="4" customFormat="1" ht="14.25" customHeight="1" x14ac:dyDescent="0.3"/>
    <row r="72" s="4" customFormat="1" ht="14.25" customHeight="1" x14ac:dyDescent="0.3"/>
    <row r="73" s="4" customFormat="1" ht="14.25" customHeight="1" x14ac:dyDescent="0.3"/>
    <row r="74" s="4" customFormat="1" ht="14.25" customHeight="1" x14ac:dyDescent="0.3"/>
    <row r="75" s="4" customFormat="1" ht="14.25" customHeight="1" x14ac:dyDescent="0.3"/>
    <row r="76" s="4" customFormat="1" ht="14.25" customHeight="1" x14ac:dyDescent="0.3"/>
    <row r="77" s="4" customFormat="1" ht="14.25" customHeight="1" x14ac:dyDescent="0.3"/>
    <row r="78" s="4" customFormat="1" ht="14.25" customHeight="1" x14ac:dyDescent="0.3"/>
    <row r="79" s="4" customFormat="1" ht="14.25" customHeight="1" x14ac:dyDescent="0.3"/>
    <row r="80" s="4" customFormat="1" ht="14.25" customHeight="1" x14ac:dyDescent="0.3"/>
    <row r="81" s="4" customFormat="1" ht="14.25" customHeight="1" x14ac:dyDescent="0.3"/>
    <row r="82" s="4" customFormat="1" ht="14.25" customHeight="1" x14ac:dyDescent="0.3"/>
    <row r="83" s="4" customFormat="1" ht="14.25" customHeight="1" x14ac:dyDescent="0.3"/>
    <row r="84" s="4" customFormat="1" ht="14.25" customHeight="1" x14ac:dyDescent="0.3"/>
    <row r="85" s="4" customFormat="1" ht="14.25" customHeight="1" x14ac:dyDescent="0.3"/>
    <row r="86" s="4" customFormat="1" ht="14.25" customHeight="1" x14ac:dyDescent="0.3"/>
    <row r="87" s="4" customFormat="1" ht="14.25" customHeight="1" x14ac:dyDescent="0.3"/>
    <row r="88" s="4" customFormat="1" ht="14.25" customHeight="1" x14ac:dyDescent="0.3"/>
    <row r="89" s="4" customFormat="1" ht="14.25" customHeight="1" x14ac:dyDescent="0.3"/>
    <row r="90" s="4" customFormat="1" ht="14.25" customHeight="1" x14ac:dyDescent="0.3"/>
    <row r="91" s="4" customFormat="1" ht="14.25" customHeight="1" x14ac:dyDescent="0.3"/>
    <row r="92" s="4" customFormat="1" ht="14.25" customHeight="1" x14ac:dyDescent="0.3"/>
    <row r="93" s="4" customFormat="1" ht="14.25" customHeight="1" x14ac:dyDescent="0.3"/>
    <row r="94" s="4" customFormat="1" ht="14.25" customHeight="1" x14ac:dyDescent="0.3"/>
    <row r="95" s="4" customFormat="1" ht="14.25" customHeight="1" x14ac:dyDescent="0.3"/>
    <row r="96" s="4" customFormat="1" ht="14.25" customHeight="1" x14ac:dyDescent="0.3"/>
    <row r="97" s="4" customFormat="1" ht="14.25" customHeight="1" x14ac:dyDescent="0.3"/>
    <row r="98" s="4" customFormat="1" ht="14.25" customHeight="1" x14ac:dyDescent="0.3"/>
    <row r="99" s="4" customFormat="1" ht="14.25" customHeight="1" x14ac:dyDescent="0.3"/>
    <row r="100" s="4" customFormat="1" ht="14.25" customHeight="1" x14ac:dyDescent="0.3"/>
    <row r="101" s="4" customFormat="1" ht="14.25" customHeight="1" x14ac:dyDescent="0.3"/>
    <row r="102" s="4" customFormat="1" ht="14.25" customHeight="1" x14ac:dyDescent="0.3"/>
    <row r="103" s="4" customFormat="1" ht="14.25" customHeight="1" x14ac:dyDescent="0.3"/>
    <row r="104" s="4" customFormat="1" ht="14.25" customHeight="1" x14ac:dyDescent="0.3"/>
    <row r="105" s="4" customFormat="1" ht="14.25" customHeight="1" x14ac:dyDescent="0.3"/>
    <row r="106" s="4" customFormat="1" ht="14.25" customHeight="1" x14ac:dyDescent="0.3"/>
    <row r="107" s="4" customFormat="1" ht="14.25" customHeight="1" x14ac:dyDescent="0.3"/>
    <row r="108" s="4" customFormat="1" ht="14.25" customHeight="1" x14ac:dyDescent="0.3"/>
    <row r="109" s="4" customFormat="1" ht="14.25" customHeight="1" x14ac:dyDescent="0.3"/>
    <row r="110" s="4" customFormat="1" ht="14.25" customHeight="1" x14ac:dyDescent="0.3"/>
    <row r="111" s="4" customFormat="1" ht="14.25" customHeight="1" x14ac:dyDescent="0.3"/>
    <row r="112" s="4" customFormat="1" ht="14.25" customHeight="1" x14ac:dyDescent="0.3"/>
    <row r="113" s="4" customFormat="1" ht="14.25" customHeight="1" x14ac:dyDescent="0.3"/>
    <row r="114" s="4" customFormat="1" ht="14.25" customHeight="1" x14ac:dyDescent="0.3"/>
    <row r="115" s="4" customFormat="1" ht="14.25" customHeight="1" x14ac:dyDescent="0.3"/>
    <row r="116" s="4" customFormat="1" ht="14.25" customHeight="1" x14ac:dyDescent="0.3"/>
    <row r="117" s="4" customFormat="1" ht="14.25" customHeight="1" x14ac:dyDescent="0.3"/>
    <row r="118" s="4" customFormat="1" ht="14.25" customHeight="1" x14ac:dyDescent="0.3"/>
    <row r="119" s="4" customFormat="1" ht="14.25" customHeight="1" x14ac:dyDescent="0.3"/>
    <row r="120" s="4" customFormat="1" ht="14.25" customHeight="1" x14ac:dyDescent="0.3"/>
    <row r="121" s="4" customFormat="1" ht="14.25" customHeight="1" x14ac:dyDescent="0.3"/>
    <row r="122" s="4" customFormat="1" ht="14.25" customHeight="1" x14ac:dyDescent="0.3"/>
    <row r="123" s="4" customFormat="1" ht="14.25" customHeight="1" x14ac:dyDescent="0.3"/>
    <row r="124" s="4" customFormat="1" ht="14.25" customHeight="1" x14ac:dyDescent="0.3"/>
    <row r="125" s="4" customFormat="1" ht="14.25" customHeight="1" x14ac:dyDescent="0.3"/>
    <row r="126" s="4" customFormat="1" ht="14.25" customHeight="1" x14ac:dyDescent="0.3"/>
    <row r="127" s="4" customFormat="1" ht="14.25" customHeight="1" x14ac:dyDescent="0.3"/>
    <row r="128" s="4" customFormat="1" ht="14.25" customHeight="1" x14ac:dyDescent="0.3"/>
    <row r="129" s="4" customFormat="1" ht="14.25" customHeight="1" x14ac:dyDescent="0.3"/>
    <row r="130" s="4" customFormat="1" ht="14.25" customHeight="1" x14ac:dyDescent="0.3"/>
    <row r="131" s="4" customFormat="1" ht="14.25" customHeight="1" x14ac:dyDescent="0.3"/>
    <row r="132" s="4" customFormat="1" ht="14.25" customHeight="1" x14ac:dyDescent="0.3"/>
    <row r="133" s="4" customFormat="1" ht="14.25" customHeight="1" x14ac:dyDescent="0.3"/>
    <row r="134" s="4" customFormat="1" ht="14.25" customHeight="1" x14ac:dyDescent="0.3"/>
    <row r="135" s="4" customFormat="1" ht="14.25" customHeight="1" x14ac:dyDescent="0.3"/>
    <row r="136" s="4" customFormat="1" ht="14.25" customHeight="1" x14ac:dyDescent="0.3"/>
    <row r="137" s="4" customFormat="1" ht="14.25" customHeight="1" x14ac:dyDescent="0.3"/>
    <row r="138" s="4" customFormat="1" ht="14.25" customHeight="1" x14ac:dyDescent="0.3"/>
    <row r="139" s="4" customFormat="1" ht="14.25" customHeight="1" x14ac:dyDescent="0.3"/>
    <row r="140" s="4" customFormat="1" ht="14.25" customHeight="1" x14ac:dyDescent="0.3"/>
    <row r="141" s="4" customFormat="1" ht="14.25" customHeight="1" x14ac:dyDescent="0.3"/>
    <row r="142" s="4" customFormat="1" ht="14.25" customHeight="1" x14ac:dyDescent="0.3"/>
    <row r="143" s="4" customFormat="1" ht="14.25" customHeight="1" x14ac:dyDescent="0.3"/>
    <row r="144" s="4" customFormat="1" ht="14.25" customHeight="1" x14ac:dyDescent="0.3"/>
    <row r="145" s="4" customFormat="1" ht="14.25" customHeight="1" x14ac:dyDescent="0.3"/>
    <row r="146" s="4" customFormat="1" ht="14.25" customHeight="1" x14ac:dyDescent="0.3"/>
    <row r="147" s="4" customFormat="1" ht="14.25" customHeight="1" x14ac:dyDescent="0.3"/>
    <row r="148" s="4" customFormat="1" ht="14.25" customHeight="1" x14ac:dyDescent="0.3"/>
    <row r="149" s="4" customFormat="1" ht="14.25" customHeight="1" x14ac:dyDescent="0.3"/>
    <row r="150" s="4" customFormat="1" ht="14.25" customHeight="1" x14ac:dyDescent="0.3"/>
    <row r="151" s="4" customFormat="1" ht="14.25" customHeight="1" x14ac:dyDescent="0.3"/>
    <row r="152" s="4" customFormat="1" ht="14.25" customHeight="1" x14ac:dyDescent="0.3"/>
    <row r="153" s="4" customFormat="1" ht="14.25" customHeight="1" x14ac:dyDescent="0.3"/>
    <row r="154" s="4" customFormat="1" ht="14.25" customHeight="1" x14ac:dyDescent="0.3"/>
    <row r="155" s="4" customFormat="1" ht="14.25" customHeight="1" x14ac:dyDescent="0.3"/>
    <row r="156" s="4" customFormat="1" ht="14.25" customHeight="1" x14ac:dyDescent="0.3"/>
    <row r="157" s="4" customFormat="1" ht="14.25" customHeight="1" x14ac:dyDescent="0.3"/>
    <row r="158" s="4" customFormat="1" ht="14.25" customHeight="1" x14ac:dyDescent="0.3"/>
    <row r="159" s="4" customFormat="1" ht="14.25" customHeight="1" x14ac:dyDescent="0.3"/>
    <row r="160" s="4" customFormat="1" ht="14.25" customHeight="1" x14ac:dyDescent="0.3"/>
    <row r="161" s="4" customFormat="1" ht="14.25" customHeight="1" x14ac:dyDescent="0.3"/>
    <row r="162" s="4" customFormat="1" ht="14.25" customHeight="1" x14ac:dyDescent="0.3"/>
    <row r="163" s="4" customFormat="1" ht="14.25" customHeight="1" x14ac:dyDescent="0.3"/>
    <row r="164" s="4" customFormat="1" ht="14.25" customHeight="1" x14ac:dyDescent="0.3"/>
    <row r="165" s="4" customFormat="1" ht="14.25" customHeight="1" x14ac:dyDescent="0.3"/>
    <row r="166" s="4" customFormat="1" ht="14.25" customHeight="1" x14ac:dyDescent="0.3"/>
    <row r="167" s="4" customFormat="1" ht="14.25" customHeight="1" x14ac:dyDescent="0.3"/>
    <row r="168" s="4" customFormat="1" ht="14.25" customHeight="1" x14ac:dyDescent="0.3"/>
    <row r="169" s="4" customFormat="1" ht="14.25" customHeight="1" x14ac:dyDescent="0.3"/>
    <row r="170" s="4" customFormat="1" ht="14.25" customHeight="1" x14ac:dyDescent="0.3"/>
    <row r="171" s="4" customFormat="1" ht="14.25" customHeight="1" x14ac:dyDescent="0.3"/>
    <row r="172" s="4" customFormat="1" ht="14.25" customHeight="1" x14ac:dyDescent="0.3"/>
    <row r="173" s="4" customFormat="1" ht="14.25" customHeight="1" x14ac:dyDescent="0.3"/>
    <row r="174" s="4" customFormat="1" ht="14.25" customHeight="1" x14ac:dyDescent="0.3"/>
    <row r="175" s="4" customFormat="1" ht="14.25" customHeight="1" x14ac:dyDescent="0.3"/>
    <row r="176" s="4" customFormat="1" ht="14.25" customHeight="1" x14ac:dyDescent="0.3"/>
    <row r="177" s="4" customFormat="1" ht="14.25" customHeight="1" x14ac:dyDescent="0.3"/>
    <row r="178" s="4" customFormat="1" ht="14.25" customHeight="1" x14ac:dyDescent="0.3"/>
    <row r="179" s="4" customFormat="1" ht="14.25" customHeight="1" x14ac:dyDescent="0.3"/>
    <row r="180" s="4" customFormat="1" ht="14.25" customHeight="1" x14ac:dyDescent="0.3"/>
    <row r="181" s="4" customFormat="1" ht="14.25" customHeight="1" x14ac:dyDescent="0.3"/>
    <row r="182" s="4" customFormat="1" ht="14.25" customHeight="1" x14ac:dyDescent="0.3"/>
    <row r="183" s="4" customFormat="1" ht="14.25" customHeight="1" x14ac:dyDescent="0.3"/>
    <row r="184" s="4" customFormat="1" ht="14.25" customHeight="1" x14ac:dyDescent="0.3"/>
    <row r="185" s="4" customFormat="1" ht="14.25" customHeight="1" x14ac:dyDescent="0.3"/>
    <row r="186" s="4" customFormat="1" ht="14.25" customHeight="1" x14ac:dyDescent="0.3"/>
    <row r="187" s="4" customFormat="1" ht="14.25" customHeight="1" x14ac:dyDescent="0.3"/>
    <row r="188" s="4" customFormat="1" ht="14.25" customHeight="1" x14ac:dyDescent="0.3"/>
    <row r="189" s="4" customFormat="1" ht="14.25" customHeight="1" x14ac:dyDescent="0.3"/>
    <row r="190" s="4" customFormat="1" ht="14.25" customHeight="1" x14ac:dyDescent="0.3"/>
    <row r="191" s="4" customFormat="1" ht="14.25" customHeight="1" x14ac:dyDescent="0.3"/>
    <row r="192" s="4" customFormat="1" ht="14.25" customHeight="1" x14ac:dyDescent="0.3"/>
    <row r="193" s="4" customFormat="1" ht="14.25" customHeight="1" x14ac:dyDescent="0.3"/>
    <row r="194" s="4" customFormat="1" ht="14.25" customHeight="1" x14ac:dyDescent="0.3"/>
    <row r="195" s="4" customFormat="1" ht="14.25" customHeight="1" x14ac:dyDescent="0.3"/>
    <row r="196" s="4" customFormat="1" ht="14.25" customHeight="1" x14ac:dyDescent="0.3"/>
    <row r="197" s="4" customFormat="1" ht="14.25" customHeight="1" x14ac:dyDescent="0.3"/>
    <row r="198" s="4" customFormat="1" ht="14.25" customHeight="1" x14ac:dyDescent="0.3"/>
    <row r="199" s="4" customFormat="1" ht="14.25" customHeight="1" x14ac:dyDescent="0.3"/>
    <row r="200" s="4" customFormat="1" ht="14.25" customHeight="1" x14ac:dyDescent="0.3"/>
    <row r="201" s="4" customFormat="1" ht="14.25" customHeight="1" x14ac:dyDescent="0.3"/>
    <row r="202" s="4" customFormat="1" ht="14.25" customHeight="1" x14ac:dyDescent="0.3"/>
    <row r="203" s="4" customFormat="1" ht="14.25" customHeight="1" x14ac:dyDescent="0.3"/>
    <row r="204" s="4" customFormat="1" ht="14.25" customHeight="1" x14ac:dyDescent="0.3"/>
    <row r="205" s="4" customFormat="1" ht="14.25" customHeight="1" x14ac:dyDescent="0.3"/>
    <row r="206" s="4" customFormat="1" ht="14.25" customHeight="1" x14ac:dyDescent="0.3"/>
    <row r="207" s="4" customFormat="1" ht="14.25" customHeight="1" x14ac:dyDescent="0.3"/>
    <row r="208" s="4" customFormat="1" ht="14.25" customHeight="1" x14ac:dyDescent="0.3"/>
    <row r="209" s="4" customFormat="1" ht="14.25" customHeight="1" x14ac:dyDescent="0.3"/>
    <row r="210" s="4" customFormat="1" ht="14.25" customHeight="1" x14ac:dyDescent="0.3"/>
    <row r="211" s="4" customFormat="1" ht="14.25" customHeight="1" x14ac:dyDescent="0.3"/>
    <row r="212" s="4" customFormat="1" ht="14.25" customHeight="1" x14ac:dyDescent="0.3"/>
    <row r="213" s="4" customFormat="1" ht="14.25" customHeight="1" x14ac:dyDescent="0.3"/>
    <row r="214" s="4" customFormat="1" ht="14.25" customHeight="1" x14ac:dyDescent="0.3"/>
    <row r="215" s="4" customFormat="1" ht="14.25" customHeight="1" x14ac:dyDescent="0.3"/>
    <row r="216" s="4" customFormat="1" ht="14.25" customHeight="1" x14ac:dyDescent="0.3"/>
    <row r="217" s="4" customFormat="1" ht="14.25" customHeight="1" x14ac:dyDescent="0.3"/>
    <row r="218" s="4" customFormat="1" ht="14.25" customHeight="1" x14ac:dyDescent="0.3"/>
    <row r="219" s="4" customFormat="1" ht="14.25" customHeight="1" x14ac:dyDescent="0.3"/>
    <row r="220" s="4" customFormat="1" ht="14.25" customHeight="1" x14ac:dyDescent="0.3"/>
    <row r="221" s="4" customFormat="1" ht="14.25" customHeight="1" x14ac:dyDescent="0.3"/>
    <row r="222" s="4" customFormat="1" ht="14.25" customHeight="1" x14ac:dyDescent="0.3"/>
    <row r="223" s="4" customFormat="1" ht="14.25" customHeight="1" x14ac:dyDescent="0.3"/>
    <row r="224" s="4" customFormat="1" ht="14.25" customHeight="1" x14ac:dyDescent="0.3"/>
    <row r="225" s="4" customFormat="1" ht="14.25" customHeight="1" x14ac:dyDescent="0.3"/>
    <row r="226" s="4" customFormat="1" ht="14.25" customHeight="1" x14ac:dyDescent="0.3"/>
    <row r="227" s="4" customFormat="1" ht="14.25" customHeight="1" x14ac:dyDescent="0.3"/>
    <row r="228" s="4" customFormat="1" ht="14.25" customHeight="1" x14ac:dyDescent="0.3"/>
    <row r="229" s="4" customFormat="1" ht="14.25" customHeight="1" x14ac:dyDescent="0.3"/>
    <row r="230" s="4" customFormat="1" ht="14.25" customHeight="1" x14ac:dyDescent="0.3"/>
    <row r="231" s="4" customFormat="1" ht="14.25" customHeight="1" x14ac:dyDescent="0.3"/>
    <row r="232" s="4" customFormat="1" ht="14.25" customHeight="1" x14ac:dyDescent="0.3"/>
    <row r="233" s="4" customFormat="1" ht="14.25" customHeight="1" x14ac:dyDescent="0.3"/>
    <row r="234" s="4" customFormat="1" ht="14.25" customHeight="1" x14ac:dyDescent="0.3"/>
    <row r="235" s="4" customFormat="1" ht="14.25" customHeight="1" x14ac:dyDescent="0.3"/>
    <row r="236" s="4" customFormat="1" ht="14.25" customHeight="1" x14ac:dyDescent="0.3"/>
    <row r="237" s="4" customFormat="1" ht="14.25" customHeight="1" x14ac:dyDescent="0.3"/>
    <row r="238" s="4" customFormat="1" ht="14.25" customHeight="1" x14ac:dyDescent="0.3"/>
    <row r="239" s="4" customFormat="1" ht="14.25" customHeight="1" x14ac:dyDescent="0.3"/>
    <row r="240" s="4" customFormat="1" ht="14.25" customHeight="1" x14ac:dyDescent="0.3"/>
    <row r="241" s="4" customFormat="1" ht="14.25" customHeight="1" x14ac:dyDescent="0.3"/>
    <row r="242" s="4" customFormat="1" ht="14.25" customHeight="1" x14ac:dyDescent="0.3"/>
    <row r="243" s="4" customFormat="1" ht="14.25" customHeight="1" x14ac:dyDescent="0.3"/>
    <row r="244" s="4" customFormat="1" ht="14.25" customHeight="1" x14ac:dyDescent="0.3"/>
    <row r="245" s="4" customFormat="1" ht="14.25" customHeight="1" x14ac:dyDescent="0.3"/>
    <row r="246" s="4" customFormat="1" ht="14.25" customHeight="1" x14ac:dyDescent="0.3"/>
    <row r="247" s="4" customFormat="1" ht="14.25" customHeight="1" x14ac:dyDescent="0.3"/>
    <row r="248" s="4" customFormat="1" ht="14.25" customHeight="1" x14ac:dyDescent="0.3"/>
    <row r="249" s="4" customFormat="1" ht="14.25" customHeight="1" x14ac:dyDescent="0.3"/>
    <row r="250" s="4" customFormat="1" ht="14.25" customHeight="1" x14ac:dyDescent="0.3"/>
    <row r="251" s="4" customFormat="1" ht="14.25" customHeight="1" x14ac:dyDescent="0.3"/>
    <row r="252" s="4" customFormat="1" ht="14.25" customHeight="1" x14ac:dyDescent="0.3"/>
    <row r="253" s="4" customFormat="1" ht="14.25" customHeight="1" x14ac:dyDescent="0.3"/>
    <row r="254" s="4" customFormat="1" ht="14.25" customHeight="1" x14ac:dyDescent="0.3"/>
    <row r="255" s="4" customFormat="1" ht="14.25" customHeight="1" x14ac:dyDescent="0.3"/>
    <row r="256" s="4" customFormat="1" ht="14.25" customHeight="1" x14ac:dyDescent="0.3"/>
    <row r="257" s="4" customFormat="1" ht="14.25" customHeight="1" x14ac:dyDescent="0.3"/>
    <row r="258" s="4" customFormat="1" ht="14.25" customHeight="1" x14ac:dyDescent="0.3"/>
    <row r="259" s="4" customFormat="1" ht="14.25" customHeight="1" x14ac:dyDescent="0.3"/>
    <row r="260" s="4" customFormat="1" ht="14.25" customHeight="1" x14ac:dyDescent="0.3"/>
    <row r="261" s="4" customFormat="1" ht="14.25" customHeight="1" x14ac:dyDescent="0.3"/>
    <row r="262" s="4" customFormat="1" ht="14.25" customHeight="1" x14ac:dyDescent="0.3"/>
    <row r="263" s="4" customFormat="1" ht="14.25" customHeight="1" x14ac:dyDescent="0.3"/>
    <row r="264" s="4" customFormat="1" ht="14.25" customHeight="1" x14ac:dyDescent="0.3"/>
    <row r="265" s="4" customFormat="1" ht="14.25" customHeight="1" x14ac:dyDescent="0.3"/>
    <row r="266" s="4" customFormat="1" ht="14.25" customHeight="1" x14ac:dyDescent="0.3"/>
    <row r="267" s="4" customFormat="1" ht="14.25" customHeight="1" x14ac:dyDescent="0.3"/>
    <row r="268" s="4" customFormat="1" ht="14.25" customHeight="1" x14ac:dyDescent="0.3"/>
    <row r="269" s="4" customFormat="1" ht="14.25" customHeight="1" x14ac:dyDescent="0.3"/>
    <row r="270" s="4" customFormat="1" ht="14.25" customHeight="1" x14ac:dyDescent="0.3"/>
    <row r="271" s="4" customFormat="1" ht="14.25" customHeight="1" x14ac:dyDescent="0.3"/>
    <row r="272" s="4" customFormat="1" ht="14.25" customHeight="1" x14ac:dyDescent="0.3"/>
    <row r="273" s="4" customFormat="1" ht="14.25" customHeight="1" x14ac:dyDescent="0.3"/>
    <row r="274" s="4" customFormat="1" ht="14.25" customHeight="1" x14ac:dyDescent="0.3"/>
    <row r="275" s="4" customFormat="1" ht="14.25" customHeight="1" x14ac:dyDescent="0.3"/>
    <row r="276" s="4" customFormat="1" ht="14.25" customHeight="1" x14ac:dyDescent="0.3"/>
    <row r="277" s="4" customFormat="1" ht="14.25" customHeight="1" x14ac:dyDescent="0.3"/>
    <row r="278" s="4" customFormat="1" ht="14.25" customHeight="1" x14ac:dyDescent="0.3"/>
    <row r="279" s="4" customFormat="1" ht="14.25" customHeight="1" x14ac:dyDescent="0.3"/>
    <row r="280" s="4" customFormat="1" ht="14.25" customHeight="1" x14ac:dyDescent="0.3"/>
    <row r="281" s="4" customFormat="1" ht="14.25" customHeight="1" x14ac:dyDescent="0.3"/>
    <row r="282" s="4" customFormat="1" ht="14.25" customHeight="1" x14ac:dyDescent="0.3"/>
    <row r="283" s="4" customFormat="1" ht="14.25" customHeight="1" x14ac:dyDescent="0.3"/>
    <row r="284" s="4" customFormat="1" ht="14.25" customHeight="1" x14ac:dyDescent="0.3"/>
    <row r="285" s="4" customFormat="1" ht="14.25" customHeight="1" x14ac:dyDescent="0.3"/>
    <row r="286" s="4" customFormat="1" ht="14.25" customHeight="1" x14ac:dyDescent="0.3"/>
    <row r="287" s="4" customFormat="1" ht="14.25" customHeight="1" x14ac:dyDescent="0.3"/>
    <row r="288" s="4" customFormat="1" ht="14.25" customHeight="1" x14ac:dyDescent="0.3"/>
    <row r="289" s="4" customFormat="1" ht="14.25" customHeight="1" x14ac:dyDescent="0.3"/>
    <row r="290" s="4" customFormat="1" ht="14.25" customHeight="1" x14ac:dyDescent="0.3"/>
    <row r="291" s="4" customFormat="1" ht="14.25" customHeight="1" x14ac:dyDescent="0.3"/>
    <row r="292" s="4" customFormat="1" ht="14.25" customHeight="1" x14ac:dyDescent="0.3"/>
    <row r="293" s="4" customFormat="1" ht="14.25" customHeight="1" x14ac:dyDescent="0.3"/>
    <row r="294" s="4" customFormat="1" ht="14.25" customHeight="1" x14ac:dyDescent="0.3"/>
    <row r="295" s="4" customFormat="1" ht="14.25" customHeight="1" x14ac:dyDescent="0.3"/>
    <row r="296" s="4" customFormat="1" ht="14.25" customHeight="1" x14ac:dyDescent="0.3"/>
    <row r="297" s="4" customFormat="1" ht="14.25" customHeight="1" x14ac:dyDescent="0.3"/>
    <row r="298" s="4" customFormat="1" ht="14.25" customHeight="1" x14ac:dyDescent="0.3"/>
    <row r="299" s="4" customFormat="1" ht="14.25" customHeight="1" x14ac:dyDescent="0.3"/>
    <row r="300" s="4" customFormat="1" ht="14.25" customHeight="1" x14ac:dyDescent="0.3"/>
    <row r="301" s="4" customFormat="1" ht="14.25" customHeight="1" x14ac:dyDescent="0.3"/>
    <row r="302" s="4" customFormat="1" ht="14.25" customHeight="1" x14ac:dyDescent="0.3"/>
    <row r="303" s="4" customFormat="1" ht="14.25" customHeight="1" x14ac:dyDescent="0.3"/>
    <row r="304" s="4" customFormat="1" ht="14.25" customHeight="1" x14ac:dyDescent="0.3"/>
    <row r="305" s="4" customFormat="1" ht="14.25" customHeight="1" x14ac:dyDescent="0.3"/>
    <row r="306" s="4" customFormat="1" ht="14.25" customHeight="1" x14ac:dyDescent="0.3"/>
    <row r="307" s="4" customFormat="1" ht="14.25" customHeight="1" x14ac:dyDescent="0.3"/>
    <row r="308" s="4" customFormat="1" ht="14.25" customHeight="1" x14ac:dyDescent="0.3"/>
    <row r="309" s="4" customFormat="1" ht="14.25" customHeight="1" x14ac:dyDescent="0.3"/>
    <row r="310" s="4" customFormat="1" ht="14.25" customHeight="1" x14ac:dyDescent="0.3"/>
    <row r="311" s="4" customFormat="1" ht="14.25" customHeight="1" x14ac:dyDescent="0.3"/>
    <row r="312" s="4" customFormat="1" ht="14.25" customHeight="1" x14ac:dyDescent="0.3"/>
    <row r="313" s="4" customFormat="1" ht="14.25" customHeight="1" x14ac:dyDescent="0.3"/>
    <row r="314" s="4" customFormat="1" ht="14.25" customHeight="1" x14ac:dyDescent="0.3"/>
    <row r="315" s="4" customFormat="1" ht="14.25" customHeight="1" x14ac:dyDescent="0.3"/>
    <row r="316" s="4" customFormat="1" ht="14.25" customHeight="1" x14ac:dyDescent="0.3"/>
    <row r="317" s="4" customFormat="1" ht="14.25" customHeight="1" x14ac:dyDescent="0.3"/>
    <row r="318" s="4" customFormat="1" ht="14.25" customHeight="1" x14ac:dyDescent="0.3"/>
    <row r="319" s="4" customFormat="1" ht="14.25" customHeight="1" x14ac:dyDescent="0.3"/>
    <row r="320" s="4" customFormat="1" ht="14.25" customHeight="1" x14ac:dyDescent="0.3"/>
    <row r="321" s="4" customFormat="1" ht="14.25" customHeight="1" x14ac:dyDescent="0.3"/>
    <row r="322" s="4" customFormat="1" ht="14.25" customHeight="1" x14ac:dyDescent="0.3"/>
    <row r="323" s="4" customFormat="1" ht="14.25" customHeight="1" x14ac:dyDescent="0.3"/>
    <row r="324" s="4" customFormat="1" ht="14.25" customHeight="1" x14ac:dyDescent="0.3"/>
    <row r="325" s="4" customFormat="1" ht="14.25" customHeight="1" x14ac:dyDescent="0.3"/>
    <row r="326" s="4" customFormat="1" ht="14.25" customHeight="1" x14ac:dyDescent="0.3"/>
    <row r="327" s="4" customFormat="1" ht="14.25" customHeight="1" x14ac:dyDescent="0.3"/>
    <row r="328" s="4" customFormat="1" ht="14.25" customHeight="1" x14ac:dyDescent="0.3"/>
    <row r="329" s="4" customFormat="1" ht="14.25" customHeight="1" x14ac:dyDescent="0.3"/>
    <row r="330" s="4" customFormat="1" ht="14.25" customHeight="1" x14ac:dyDescent="0.3"/>
    <row r="331" s="4" customFormat="1" ht="14.25" customHeight="1" x14ac:dyDescent="0.3"/>
    <row r="332" s="4" customFormat="1" ht="14.25" customHeight="1" x14ac:dyDescent="0.3"/>
    <row r="333" s="4" customFormat="1" ht="14.25" customHeight="1" x14ac:dyDescent="0.3"/>
    <row r="334" s="4" customFormat="1" ht="14.25" customHeight="1" x14ac:dyDescent="0.3"/>
    <row r="335" s="4" customFormat="1" ht="14.25" customHeight="1" x14ac:dyDescent="0.3"/>
    <row r="336" s="4" customFormat="1" ht="14.25" customHeight="1" x14ac:dyDescent="0.3"/>
    <row r="337" s="4" customFormat="1" ht="14.25" customHeight="1" x14ac:dyDescent="0.3"/>
    <row r="338" s="4" customFormat="1" ht="14.25" customHeight="1" x14ac:dyDescent="0.3"/>
    <row r="339" s="4" customFormat="1" ht="14.25" customHeight="1" x14ac:dyDescent="0.3"/>
    <row r="340" s="4" customFormat="1" ht="14.25" customHeight="1" x14ac:dyDescent="0.3"/>
    <row r="341" s="4" customFormat="1" ht="14.25" customHeight="1" x14ac:dyDescent="0.3"/>
    <row r="342" s="4" customFormat="1" ht="14.25" customHeight="1" x14ac:dyDescent="0.3"/>
    <row r="343" s="4" customFormat="1" ht="14.25" customHeight="1" x14ac:dyDescent="0.3"/>
    <row r="344" s="4" customFormat="1" ht="14.25" customHeight="1" x14ac:dyDescent="0.3"/>
    <row r="345" s="4" customFormat="1" ht="14.25" customHeight="1" x14ac:dyDescent="0.3"/>
    <row r="346" s="4" customFormat="1" ht="14.25" customHeight="1" x14ac:dyDescent="0.3"/>
    <row r="347" s="4" customFormat="1" ht="14.25" customHeight="1" x14ac:dyDescent="0.3"/>
    <row r="348" s="4" customFormat="1" ht="14.25" customHeight="1" x14ac:dyDescent="0.3"/>
    <row r="349" s="4" customFormat="1" ht="14.25" customHeight="1" x14ac:dyDescent="0.3"/>
    <row r="350" s="4" customFormat="1" ht="14.25" customHeight="1" x14ac:dyDescent="0.3"/>
    <row r="351" s="4" customFormat="1" ht="14.25" customHeight="1" x14ac:dyDescent="0.3"/>
    <row r="352" s="4" customFormat="1" ht="14.25" customHeight="1" x14ac:dyDescent="0.3"/>
    <row r="353" s="4" customFormat="1" ht="14.25" customHeight="1" x14ac:dyDescent="0.3"/>
    <row r="354" s="4" customFormat="1" ht="14.25" customHeight="1" x14ac:dyDescent="0.3"/>
    <row r="355" s="4" customFormat="1" ht="14.25" customHeight="1" x14ac:dyDescent="0.3"/>
    <row r="356" s="4" customFormat="1" ht="14.25" customHeight="1" x14ac:dyDescent="0.3"/>
    <row r="357" s="4" customFormat="1" ht="14.25" customHeight="1" x14ac:dyDescent="0.3"/>
    <row r="358" s="4" customFormat="1" ht="14.25" customHeight="1" x14ac:dyDescent="0.3"/>
    <row r="359" s="4" customFormat="1" ht="14.25" customHeight="1" x14ac:dyDescent="0.3"/>
    <row r="360" s="4" customFormat="1" ht="14.25" customHeight="1" x14ac:dyDescent="0.3"/>
    <row r="361" s="4" customFormat="1" ht="14.25" customHeight="1" x14ac:dyDescent="0.3"/>
    <row r="362" s="4" customFormat="1" ht="14.25" customHeight="1" x14ac:dyDescent="0.3"/>
    <row r="363" s="4" customFormat="1" ht="14.25" customHeight="1" x14ac:dyDescent="0.3"/>
    <row r="364" s="4" customFormat="1" ht="14.25" customHeight="1" x14ac:dyDescent="0.3"/>
    <row r="365" s="4" customFormat="1" ht="14.25" customHeight="1" x14ac:dyDescent="0.3"/>
    <row r="366" s="4" customFormat="1" ht="14.25" customHeight="1" x14ac:dyDescent="0.3"/>
    <row r="367" s="4" customFormat="1" ht="14.25" customHeight="1" x14ac:dyDescent="0.3"/>
    <row r="368" s="4" customFormat="1" ht="14.25" customHeight="1" x14ac:dyDescent="0.3"/>
    <row r="369" s="4" customFormat="1" ht="14.25" customHeight="1" x14ac:dyDescent="0.3"/>
    <row r="370" s="4" customFormat="1" ht="14.25" customHeight="1" x14ac:dyDescent="0.3"/>
    <row r="371" s="4" customFormat="1" ht="14.25" customHeight="1" x14ac:dyDescent="0.3"/>
    <row r="372" s="4" customFormat="1" ht="14.25" customHeight="1" x14ac:dyDescent="0.3"/>
    <row r="373" s="4" customFormat="1" ht="14.25" customHeight="1" x14ac:dyDescent="0.3"/>
    <row r="374" s="4" customFormat="1" ht="14.25" customHeight="1" x14ac:dyDescent="0.3"/>
    <row r="375" s="4" customFormat="1" ht="14.25" customHeight="1" x14ac:dyDescent="0.3"/>
    <row r="376" s="4" customFormat="1" ht="14.25" customHeight="1" x14ac:dyDescent="0.3"/>
    <row r="377" s="4" customFormat="1" ht="14.25" customHeight="1" x14ac:dyDescent="0.3"/>
    <row r="378" s="4" customFormat="1" ht="14.25" customHeight="1" x14ac:dyDescent="0.3"/>
    <row r="379" s="4" customFormat="1" ht="14.25" customHeight="1" x14ac:dyDescent="0.3"/>
    <row r="380" s="4" customFormat="1" ht="14.25" customHeight="1" x14ac:dyDescent="0.3"/>
    <row r="381" s="4" customFormat="1" ht="14.25" customHeight="1" x14ac:dyDescent="0.3"/>
    <row r="382" s="4" customFormat="1" ht="14.25" customHeight="1" x14ac:dyDescent="0.3"/>
    <row r="383" s="4" customFormat="1" ht="14.25" customHeight="1" x14ac:dyDescent="0.3"/>
    <row r="384" s="4" customFormat="1" ht="14.25" customHeight="1" x14ac:dyDescent="0.3"/>
    <row r="385" s="4" customFormat="1" ht="14.25" customHeight="1" x14ac:dyDescent="0.3"/>
    <row r="386" s="4" customFormat="1" ht="14.25" customHeight="1" x14ac:dyDescent="0.3"/>
    <row r="387" s="4" customFormat="1" ht="14.25" customHeight="1" x14ac:dyDescent="0.3"/>
    <row r="388" s="4" customFormat="1" ht="14.25" customHeight="1" x14ac:dyDescent="0.3"/>
    <row r="389" s="4" customFormat="1" ht="14.25" customHeight="1" x14ac:dyDescent="0.3"/>
    <row r="390" s="4" customFormat="1" ht="14.25" customHeight="1" x14ac:dyDescent="0.3"/>
    <row r="391" s="4" customFormat="1" ht="14.25" customHeight="1" x14ac:dyDescent="0.3"/>
    <row r="392" s="4" customFormat="1" ht="14.25" customHeight="1" x14ac:dyDescent="0.3"/>
    <row r="393" s="4" customFormat="1" ht="14.25" customHeight="1" x14ac:dyDescent="0.3"/>
    <row r="394" s="4" customFormat="1" ht="14.25" customHeight="1" x14ac:dyDescent="0.3"/>
    <row r="395" s="4" customFormat="1" ht="14.25" customHeight="1" x14ac:dyDescent="0.3"/>
    <row r="396" s="4" customFormat="1" ht="14.25" customHeight="1" x14ac:dyDescent="0.3"/>
    <row r="397" s="4" customFormat="1" ht="14.25" customHeight="1" x14ac:dyDescent="0.3"/>
    <row r="398" s="4" customFormat="1" ht="14.25" customHeight="1" x14ac:dyDescent="0.3"/>
    <row r="399" s="4" customFormat="1" ht="14.25" customHeight="1" x14ac:dyDescent="0.3"/>
    <row r="400" s="4" customFormat="1" ht="14.25" customHeight="1" x14ac:dyDescent="0.3"/>
    <row r="401" s="4" customFormat="1" ht="14.25" customHeight="1" x14ac:dyDescent="0.3"/>
    <row r="402" s="4" customFormat="1" ht="14.25" customHeight="1" x14ac:dyDescent="0.3"/>
    <row r="403" s="4" customFormat="1" ht="14.25" customHeight="1" x14ac:dyDescent="0.3"/>
    <row r="404" s="4" customFormat="1" ht="14.25" customHeight="1" x14ac:dyDescent="0.3"/>
    <row r="405" s="4" customFormat="1" ht="14.25" customHeight="1" x14ac:dyDescent="0.3"/>
    <row r="406" s="4" customFormat="1" ht="14.25" customHeight="1" x14ac:dyDescent="0.3"/>
    <row r="407" s="4" customFormat="1" ht="14.25" customHeight="1" x14ac:dyDescent="0.3"/>
    <row r="408" s="4" customFormat="1" ht="14.25" customHeight="1" x14ac:dyDescent="0.3"/>
    <row r="409" s="4" customFormat="1" ht="14.25" customHeight="1" x14ac:dyDescent="0.3"/>
    <row r="410" s="4" customFormat="1" ht="14.25" customHeight="1" x14ac:dyDescent="0.3"/>
    <row r="411" s="4" customFormat="1" ht="14.25" customHeight="1" x14ac:dyDescent="0.3"/>
    <row r="412" s="4" customFormat="1" ht="14.25" customHeight="1" x14ac:dyDescent="0.3"/>
    <row r="413" s="4" customFormat="1" ht="14.25" customHeight="1" x14ac:dyDescent="0.3"/>
    <row r="414" s="4" customFormat="1" ht="14.25" customHeight="1" x14ac:dyDescent="0.3"/>
    <row r="415" s="4" customFormat="1" ht="14.25" customHeight="1" x14ac:dyDescent="0.3"/>
    <row r="416" s="4" customFormat="1" ht="14.25" customHeight="1" x14ac:dyDescent="0.3"/>
    <row r="417" s="4" customFormat="1" ht="14.25" customHeight="1" x14ac:dyDescent="0.3"/>
    <row r="418" s="4" customFormat="1" ht="14.25" customHeight="1" x14ac:dyDescent="0.3"/>
    <row r="419" s="4" customFormat="1" ht="14.25" customHeight="1" x14ac:dyDescent="0.3"/>
    <row r="420" s="4" customFormat="1" ht="14.25" customHeight="1" x14ac:dyDescent="0.3"/>
    <row r="421" s="4" customFormat="1" ht="14.25" customHeight="1" x14ac:dyDescent="0.3"/>
    <row r="422" s="4" customFormat="1" ht="14.25" customHeight="1" x14ac:dyDescent="0.3"/>
    <row r="423" s="4" customFormat="1" ht="14.25" customHeight="1" x14ac:dyDescent="0.3"/>
    <row r="424" s="4" customFormat="1" ht="14.25" customHeight="1" x14ac:dyDescent="0.3"/>
    <row r="425" s="4" customFormat="1" ht="14.25" customHeight="1" x14ac:dyDescent="0.3"/>
    <row r="426" s="4" customFormat="1" ht="14.25" customHeight="1" x14ac:dyDescent="0.3"/>
    <row r="427" s="4" customFormat="1" ht="14.25" customHeight="1" x14ac:dyDescent="0.3"/>
    <row r="428" s="4" customFormat="1" ht="14.25" customHeight="1" x14ac:dyDescent="0.3"/>
    <row r="429" s="4" customFormat="1" ht="14.25" customHeight="1" x14ac:dyDescent="0.3"/>
    <row r="430" s="4" customFormat="1" ht="14.25" customHeight="1" x14ac:dyDescent="0.3"/>
    <row r="431" s="4" customFormat="1" ht="14.25" customHeight="1" x14ac:dyDescent="0.3"/>
    <row r="432" s="4" customFormat="1" ht="14.25" customHeight="1" x14ac:dyDescent="0.3"/>
    <row r="433" s="4" customFormat="1" ht="14.25" customHeight="1" x14ac:dyDescent="0.3"/>
    <row r="434" s="4" customFormat="1" ht="14.25" customHeight="1" x14ac:dyDescent="0.3"/>
    <row r="435" s="4" customFormat="1" ht="14.25" customHeight="1" x14ac:dyDescent="0.3"/>
    <row r="436" s="4" customFormat="1" ht="14.25" customHeight="1" x14ac:dyDescent="0.3"/>
    <row r="437" s="4" customFormat="1" ht="14.25" customHeight="1" x14ac:dyDescent="0.3"/>
    <row r="438" s="4" customFormat="1" ht="14.25" customHeight="1" x14ac:dyDescent="0.3"/>
    <row r="439" s="4" customFormat="1" ht="14.25" customHeight="1" x14ac:dyDescent="0.3"/>
    <row r="440" s="4" customFormat="1" ht="14.25" customHeight="1" x14ac:dyDescent="0.3"/>
    <row r="441" s="4" customFormat="1" ht="14.25" customHeight="1" x14ac:dyDescent="0.3"/>
    <row r="442" s="4" customFormat="1" ht="14.25" customHeight="1" x14ac:dyDescent="0.3"/>
    <row r="443" s="4" customFormat="1" ht="14.25" customHeight="1" x14ac:dyDescent="0.3"/>
    <row r="444" s="4" customFormat="1" ht="14.25" customHeight="1" x14ac:dyDescent="0.3"/>
    <row r="445" s="4" customFormat="1" ht="14.25" customHeight="1" x14ac:dyDescent="0.3"/>
    <row r="446" s="4" customFormat="1" ht="14.25" customHeight="1" x14ac:dyDescent="0.3"/>
    <row r="447" s="4" customFormat="1" ht="14.25" customHeight="1" x14ac:dyDescent="0.3"/>
    <row r="448" s="4" customFormat="1" ht="14.25" customHeight="1" x14ac:dyDescent="0.3"/>
    <row r="449" s="4" customFormat="1" ht="14.25" customHeight="1" x14ac:dyDescent="0.3"/>
    <row r="450" s="4" customFormat="1" ht="14.25" customHeight="1" x14ac:dyDescent="0.3"/>
    <row r="451" s="4" customFormat="1" ht="14.25" customHeight="1" x14ac:dyDescent="0.3"/>
    <row r="452" s="4" customFormat="1" ht="14.25" customHeight="1" x14ac:dyDescent="0.3"/>
    <row r="453" s="4" customFormat="1" ht="14.25" customHeight="1" x14ac:dyDescent="0.3"/>
    <row r="454" s="4" customFormat="1" ht="14.25" customHeight="1" x14ac:dyDescent="0.3"/>
    <row r="455" s="4" customFormat="1" ht="14.25" customHeight="1" x14ac:dyDescent="0.3"/>
    <row r="456" s="4" customFormat="1" ht="14.25" customHeight="1" x14ac:dyDescent="0.3"/>
    <row r="457" s="4" customFormat="1" ht="14.25" customHeight="1" x14ac:dyDescent="0.3"/>
    <row r="458" s="4" customFormat="1" ht="14.25" customHeight="1" x14ac:dyDescent="0.3"/>
    <row r="459" s="4" customFormat="1" ht="14.25" customHeight="1" x14ac:dyDescent="0.3"/>
    <row r="460" s="4" customFormat="1" ht="14.25" customHeight="1" x14ac:dyDescent="0.3"/>
    <row r="461" s="4" customFormat="1" ht="14.25" customHeight="1" x14ac:dyDescent="0.3"/>
    <row r="462" s="4" customFormat="1" ht="14.25" customHeight="1" x14ac:dyDescent="0.3"/>
    <row r="463" s="4" customFormat="1" ht="14.25" customHeight="1" x14ac:dyDescent="0.3"/>
    <row r="464" s="4" customFormat="1" ht="14.25" customHeight="1" x14ac:dyDescent="0.3"/>
    <row r="465" s="4" customFormat="1" ht="14.25" customHeight="1" x14ac:dyDescent="0.3"/>
    <row r="466" s="4" customFormat="1" ht="14.25" customHeight="1" x14ac:dyDescent="0.3"/>
    <row r="467" s="4" customFormat="1" ht="14.25" customHeight="1" x14ac:dyDescent="0.3"/>
    <row r="468" s="4" customFormat="1" ht="14.25" customHeight="1" x14ac:dyDescent="0.3"/>
    <row r="469" s="4" customFormat="1" ht="14.25" customHeight="1" x14ac:dyDescent="0.3"/>
    <row r="470" s="4" customFormat="1" ht="14.25" customHeight="1" x14ac:dyDescent="0.3"/>
    <row r="471" s="4" customFormat="1" ht="14.25" customHeight="1" x14ac:dyDescent="0.3"/>
    <row r="472" s="4" customFormat="1" ht="14.25" customHeight="1" x14ac:dyDescent="0.3"/>
    <row r="473" s="4" customFormat="1" ht="14.25" customHeight="1" x14ac:dyDescent="0.3"/>
    <row r="474" s="4" customFormat="1" ht="14.25" customHeight="1" x14ac:dyDescent="0.3"/>
    <row r="475" s="4" customFormat="1" ht="14.25" customHeight="1" x14ac:dyDescent="0.3"/>
    <row r="476" s="4" customFormat="1" ht="14.25" customHeight="1" x14ac:dyDescent="0.3"/>
    <row r="477" s="4" customFormat="1" ht="14.25" customHeight="1" x14ac:dyDescent="0.3"/>
    <row r="478" s="4" customFormat="1" ht="14.25" customHeight="1" x14ac:dyDescent="0.3"/>
    <row r="479" s="4" customFormat="1" ht="14.25" customHeight="1" x14ac:dyDescent="0.3"/>
    <row r="480" s="4" customFormat="1" ht="14.25" customHeight="1" x14ac:dyDescent="0.3"/>
    <row r="481" s="4" customFormat="1" ht="14.25" customHeight="1" x14ac:dyDescent="0.3"/>
    <row r="482" s="4" customFormat="1" ht="14.25" customHeight="1" x14ac:dyDescent="0.3"/>
    <row r="483" s="4" customFormat="1" ht="14.25" customHeight="1" x14ac:dyDescent="0.3"/>
    <row r="484" s="4" customFormat="1" ht="14.25" customHeight="1" x14ac:dyDescent="0.3"/>
    <row r="485" s="4" customFormat="1" ht="14.25" customHeight="1" x14ac:dyDescent="0.3"/>
    <row r="486" s="4" customFormat="1" ht="14.25" customHeight="1" x14ac:dyDescent="0.3"/>
    <row r="487" s="4" customFormat="1" ht="14.25" customHeight="1" x14ac:dyDescent="0.3"/>
    <row r="488" s="4" customFormat="1" ht="14.25" customHeight="1" x14ac:dyDescent="0.3"/>
    <row r="489" s="4" customFormat="1" ht="14.25" customHeight="1" x14ac:dyDescent="0.3"/>
    <row r="490" s="4" customFormat="1" ht="14.25" customHeight="1" x14ac:dyDescent="0.3"/>
    <row r="491" s="4" customFormat="1" ht="14.25" customHeight="1" x14ac:dyDescent="0.3"/>
    <row r="492" s="4" customFormat="1" ht="14.25" customHeight="1" x14ac:dyDescent="0.3"/>
    <row r="493" s="4" customFormat="1" ht="14.25" customHeight="1" x14ac:dyDescent="0.3"/>
    <row r="494" s="4" customFormat="1" ht="14.25" customHeight="1" x14ac:dyDescent="0.3"/>
    <row r="495" s="4" customFormat="1" ht="14.25" customHeight="1" x14ac:dyDescent="0.3"/>
    <row r="496" s="4" customFormat="1" ht="14.25" customHeight="1" x14ac:dyDescent="0.3"/>
    <row r="497" s="4" customFormat="1" ht="14.25" customHeight="1" x14ac:dyDescent="0.3"/>
    <row r="498" s="4" customFormat="1" ht="14.25" customHeight="1" x14ac:dyDescent="0.3"/>
    <row r="499" s="4" customFormat="1" ht="14.25" customHeight="1" x14ac:dyDescent="0.3"/>
    <row r="500" s="4" customFormat="1" ht="14.25" customHeight="1" x14ac:dyDescent="0.3"/>
    <row r="501" s="4" customFormat="1" ht="14.25" customHeight="1" x14ac:dyDescent="0.3"/>
    <row r="502" s="4" customFormat="1" ht="14.25" customHeight="1" x14ac:dyDescent="0.3"/>
    <row r="503" s="4" customFormat="1" ht="14.25" customHeight="1" x14ac:dyDescent="0.3"/>
    <row r="504" s="4" customFormat="1" ht="14.25" customHeight="1" x14ac:dyDescent="0.3"/>
    <row r="505" s="4" customFormat="1" ht="14.25" customHeight="1" x14ac:dyDescent="0.3"/>
    <row r="506" s="4" customFormat="1" ht="14.25" customHeight="1" x14ac:dyDescent="0.3"/>
    <row r="507" s="4" customFormat="1" ht="14.25" customHeight="1" x14ac:dyDescent="0.3"/>
    <row r="508" s="4" customFormat="1" ht="14.25" customHeight="1" x14ac:dyDescent="0.3"/>
    <row r="509" s="4" customFormat="1" ht="14.25" customHeight="1" x14ac:dyDescent="0.3"/>
    <row r="510" s="4" customFormat="1" ht="14.25" customHeight="1" x14ac:dyDescent="0.3"/>
    <row r="511" s="4" customFormat="1" ht="14.25" customHeight="1" x14ac:dyDescent="0.3"/>
    <row r="512" s="4" customFormat="1" ht="14.25" customHeight="1" x14ac:dyDescent="0.3"/>
    <row r="513" s="4" customFormat="1" ht="14.25" customHeight="1" x14ac:dyDescent="0.3"/>
    <row r="514" s="4" customFormat="1" ht="14.25" customHeight="1" x14ac:dyDescent="0.3"/>
    <row r="515" s="4" customFormat="1" ht="14.25" customHeight="1" x14ac:dyDescent="0.3"/>
    <row r="516" s="4" customFormat="1" ht="14.25" customHeight="1" x14ac:dyDescent="0.3"/>
    <row r="517" s="4" customFormat="1" ht="14.25" customHeight="1" x14ac:dyDescent="0.3"/>
    <row r="518" s="4" customFormat="1" ht="14.25" customHeight="1" x14ac:dyDescent="0.3"/>
    <row r="519" s="4" customFormat="1" ht="14.25" customHeight="1" x14ac:dyDescent="0.3"/>
    <row r="520" s="4" customFormat="1" ht="14.25" customHeight="1" x14ac:dyDescent="0.3"/>
    <row r="521" s="4" customFormat="1" ht="14.25" customHeight="1" x14ac:dyDescent="0.3"/>
    <row r="522" s="4" customFormat="1" ht="14.25" customHeight="1" x14ac:dyDescent="0.3"/>
    <row r="523" s="4" customFormat="1" ht="14.25" customHeight="1" x14ac:dyDescent="0.3"/>
    <row r="524" s="4" customFormat="1" ht="14.25" customHeight="1" x14ac:dyDescent="0.3"/>
    <row r="525" s="4" customFormat="1" ht="14.25" customHeight="1" x14ac:dyDescent="0.3"/>
    <row r="526" s="4" customFormat="1" ht="14.25" customHeight="1" x14ac:dyDescent="0.3"/>
    <row r="527" s="4" customFormat="1" ht="14.25" customHeight="1" x14ac:dyDescent="0.3"/>
    <row r="528" s="4" customFormat="1" ht="14.25" customHeight="1" x14ac:dyDescent="0.3"/>
    <row r="529" s="4" customFormat="1" ht="14.25" customHeight="1" x14ac:dyDescent="0.3"/>
    <row r="530" s="4" customFormat="1" ht="14.25" customHeight="1" x14ac:dyDescent="0.3"/>
    <row r="531" s="4" customFormat="1" ht="14.25" customHeight="1" x14ac:dyDescent="0.3"/>
    <row r="532" s="4" customFormat="1" ht="14.25" customHeight="1" x14ac:dyDescent="0.3"/>
    <row r="533" s="4" customFormat="1" ht="14.25" customHeight="1" x14ac:dyDescent="0.3"/>
    <row r="534" s="4" customFormat="1" ht="14.25" customHeight="1" x14ac:dyDescent="0.3"/>
    <row r="535" s="4" customFormat="1" ht="14.25" customHeight="1" x14ac:dyDescent="0.3"/>
    <row r="536" s="4" customFormat="1" ht="14.25" customHeight="1" x14ac:dyDescent="0.3"/>
    <row r="537" s="4" customFormat="1" ht="14.25" customHeight="1" x14ac:dyDescent="0.3"/>
    <row r="538" s="4" customFormat="1" ht="14.25" customHeight="1" x14ac:dyDescent="0.3"/>
    <row r="539" s="4" customFormat="1" ht="14.25" customHeight="1" x14ac:dyDescent="0.3"/>
    <row r="540" s="4" customFormat="1" ht="14.25" customHeight="1" x14ac:dyDescent="0.3"/>
    <row r="541" s="4" customFormat="1" ht="14.25" customHeight="1" x14ac:dyDescent="0.3"/>
    <row r="542" s="4" customFormat="1" ht="14.25" customHeight="1" x14ac:dyDescent="0.3"/>
    <row r="543" s="4" customFormat="1" ht="14.25" customHeight="1" x14ac:dyDescent="0.3"/>
    <row r="544" s="4" customFormat="1" ht="14.25" customHeight="1" x14ac:dyDescent="0.3"/>
    <row r="545" s="4" customFormat="1" ht="14.25" customHeight="1" x14ac:dyDescent="0.3"/>
    <row r="546" s="4" customFormat="1" ht="14.25" customHeight="1" x14ac:dyDescent="0.3"/>
    <row r="547" s="4" customFormat="1" ht="14.25" customHeight="1" x14ac:dyDescent="0.3"/>
    <row r="548" s="4" customFormat="1" ht="14.25" customHeight="1" x14ac:dyDescent="0.3"/>
    <row r="549" s="4" customFormat="1" ht="14.25" customHeight="1" x14ac:dyDescent="0.3"/>
    <row r="550" s="4" customFormat="1" ht="14.25" customHeight="1" x14ac:dyDescent="0.3"/>
    <row r="551" s="4" customFormat="1" ht="14.25" customHeight="1" x14ac:dyDescent="0.3"/>
    <row r="552" s="4" customFormat="1" ht="14.25" customHeight="1" x14ac:dyDescent="0.3"/>
    <row r="553" s="4" customFormat="1" ht="14.25" customHeight="1" x14ac:dyDescent="0.3"/>
    <row r="554" s="4" customFormat="1" ht="14.25" customHeight="1" x14ac:dyDescent="0.3"/>
    <row r="555" s="4" customFormat="1" ht="14.25" customHeight="1" x14ac:dyDescent="0.3"/>
    <row r="556" s="4" customFormat="1" ht="14.25" customHeight="1" x14ac:dyDescent="0.3"/>
    <row r="557" s="4" customFormat="1" ht="14.25" customHeight="1" x14ac:dyDescent="0.3"/>
    <row r="558" s="4" customFormat="1" ht="14.25" customHeight="1" x14ac:dyDescent="0.3"/>
    <row r="559" s="4" customFormat="1" ht="14.25" customHeight="1" x14ac:dyDescent="0.3"/>
    <row r="560" s="4" customFormat="1" ht="14.25" customHeight="1" x14ac:dyDescent="0.3"/>
    <row r="561" s="4" customFormat="1" ht="14.25" customHeight="1" x14ac:dyDescent="0.3"/>
    <row r="562" s="4" customFormat="1" ht="14.25" customHeight="1" x14ac:dyDescent="0.3"/>
    <row r="563" s="4" customFormat="1" ht="14.25" customHeight="1" x14ac:dyDescent="0.3"/>
    <row r="564" s="4" customFormat="1" ht="14.25" customHeight="1" x14ac:dyDescent="0.3"/>
    <row r="565" s="4" customFormat="1" ht="14.25" customHeight="1" x14ac:dyDescent="0.3"/>
    <row r="566" s="4" customFormat="1" ht="14.25" customHeight="1" x14ac:dyDescent="0.3"/>
    <row r="567" s="4" customFormat="1" ht="14.25" customHeight="1" x14ac:dyDescent="0.3"/>
    <row r="568" s="4" customFormat="1" ht="14.25" customHeight="1" x14ac:dyDescent="0.3"/>
    <row r="569" s="4" customFormat="1" ht="14.25" customHeight="1" x14ac:dyDescent="0.3"/>
    <row r="570" s="4" customFormat="1" ht="14.25" customHeight="1" x14ac:dyDescent="0.3"/>
    <row r="571" s="4" customFormat="1" ht="14.25" customHeight="1" x14ac:dyDescent="0.3"/>
    <row r="572" s="4" customFormat="1" ht="14.25" customHeight="1" x14ac:dyDescent="0.3"/>
    <row r="573" s="4" customFormat="1" ht="14.25" customHeight="1" x14ac:dyDescent="0.3"/>
    <row r="574" s="4" customFormat="1" ht="14.25" customHeight="1" x14ac:dyDescent="0.3"/>
    <row r="575" s="4" customFormat="1" ht="14.25" customHeight="1" x14ac:dyDescent="0.3"/>
    <row r="576" s="4" customFormat="1" ht="14.25" customHeight="1" x14ac:dyDescent="0.3"/>
    <row r="577" s="4" customFormat="1" ht="14.25" customHeight="1" x14ac:dyDescent="0.3"/>
    <row r="578" s="4" customFormat="1" ht="14.25" customHeight="1" x14ac:dyDescent="0.3"/>
    <row r="579" s="4" customFormat="1" ht="14.25" customHeight="1" x14ac:dyDescent="0.3"/>
    <row r="580" s="4" customFormat="1" ht="14.25" customHeight="1" x14ac:dyDescent="0.3"/>
    <row r="581" s="4" customFormat="1" ht="14.25" customHeight="1" x14ac:dyDescent="0.3"/>
    <row r="582" s="4" customFormat="1" ht="14.25" customHeight="1" x14ac:dyDescent="0.3"/>
    <row r="583" s="4" customFormat="1" ht="14.25" customHeight="1" x14ac:dyDescent="0.3"/>
    <row r="584" s="4" customFormat="1" ht="14.25" customHeight="1" x14ac:dyDescent="0.3"/>
    <row r="585" s="4" customFormat="1" ht="14.25" customHeight="1" x14ac:dyDescent="0.3"/>
    <row r="586" s="4" customFormat="1" ht="14.25" customHeight="1" x14ac:dyDescent="0.3"/>
    <row r="587" s="4" customFormat="1" ht="14.25" customHeight="1" x14ac:dyDescent="0.3"/>
    <row r="588" s="4" customFormat="1" ht="14.25" customHeight="1" x14ac:dyDescent="0.3"/>
    <row r="589" s="4" customFormat="1" ht="14.25" customHeight="1" x14ac:dyDescent="0.3"/>
    <row r="590" s="4" customFormat="1" ht="14.25" customHeight="1" x14ac:dyDescent="0.3"/>
    <row r="591" s="4" customFormat="1" ht="14.25" customHeight="1" x14ac:dyDescent="0.3"/>
    <row r="592" s="4" customFormat="1" ht="14.25" customHeight="1" x14ac:dyDescent="0.3"/>
    <row r="593" s="4" customFormat="1" ht="14.25" customHeight="1" x14ac:dyDescent="0.3"/>
    <row r="594" s="4" customFormat="1" ht="14.25" customHeight="1" x14ac:dyDescent="0.3"/>
    <row r="595" s="4" customFormat="1" ht="14.25" customHeight="1" x14ac:dyDescent="0.3"/>
    <row r="596" s="4" customFormat="1" ht="14.25" customHeight="1" x14ac:dyDescent="0.3"/>
    <row r="597" s="4" customFormat="1" ht="14.25" customHeight="1" x14ac:dyDescent="0.3"/>
    <row r="598" s="4" customFormat="1" ht="14.25" customHeight="1" x14ac:dyDescent="0.3"/>
    <row r="599" s="4" customFormat="1" ht="14.25" customHeight="1" x14ac:dyDescent="0.3"/>
    <row r="600" s="4" customFormat="1" ht="14.25" customHeight="1" x14ac:dyDescent="0.3"/>
    <row r="601" s="4" customFormat="1" ht="14.25" customHeight="1" x14ac:dyDescent="0.3"/>
    <row r="602" s="4" customFormat="1" ht="14.25" customHeight="1" x14ac:dyDescent="0.3"/>
    <row r="603" s="4" customFormat="1" ht="14.25" customHeight="1" x14ac:dyDescent="0.3"/>
    <row r="604" s="4" customFormat="1" ht="14.25" customHeight="1" x14ac:dyDescent="0.3"/>
    <row r="605" s="4" customFormat="1" ht="14.25" customHeight="1" x14ac:dyDescent="0.3"/>
    <row r="606" s="4" customFormat="1" ht="14.25" customHeight="1" x14ac:dyDescent="0.3"/>
    <row r="607" s="4" customFormat="1" ht="14.25" customHeight="1" x14ac:dyDescent="0.3"/>
    <row r="608" s="4" customFormat="1" ht="14.25" customHeight="1" x14ac:dyDescent="0.3"/>
    <row r="609" s="4" customFormat="1" ht="14.25" customHeight="1" x14ac:dyDescent="0.3"/>
    <row r="610" s="4" customFormat="1" ht="14.25" customHeight="1" x14ac:dyDescent="0.3"/>
    <row r="611" s="4" customFormat="1" ht="14.25" customHeight="1" x14ac:dyDescent="0.3"/>
    <row r="612" s="4" customFormat="1" ht="14.25" customHeight="1" x14ac:dyDescent="0.3"/>
    <row r="613" s="4" customFormat="1" ht="14.25" customHeight="1" x14ac:dyDescent="0.3"/>
    <row r="614" s="4" customFormat="1" ht="14.25" customHeight="1" x14ac:dyDescent="0.3"/>
    <row r="615" s="4" customFormat="1" ht="14.25" customHeight="1" x14ac:dyDescent="0.3"/>
    <row r="616" s="4" customFormat="1" ht="14.25" customHeight="1" x14ac:dyDescent="0.3"/>
    <row r="617" s="4" customFormat="1" ht="14.25" customHeight="1" x14ac:dyDescent="0.3"/>
    <row r="618" s="4" customFormat="1" ht="14.25" customHeight="1" x14ac:dyDescent="0.3"/>
    <row r="619" s="4" customFormat="1" ht="14.25" customHeight="1" x14ac:dyDescent="0.3"/>
    <row r="620" s="4" customFormat="1" ht="14.25" customHeight="1" x14ac:dyDescent="0.3"/>
    <row r="621" s="4" customFormat="1" ht="14.25" customHeight="1" x14ac:dyDescent="0.3"/>
    <row r="622" s="4" customFormat="1" ht="14.25" customHeight="1" x14ac:dyDescent="0.3"/>
    <row r="623" s="4" customFormat="1" ht="14.25" customHeight="1" x14ac:dyDescent="0.3"/>
    <row r="624" s="4" customFormat="1" ht="14.25" customHeight="1" x14ac:dyDescent="0.3"/>
    <row r="625" s="4" customFormat="1" ht="14.25" customHeight="1" x14ac:dyDescent="0.3"/>
    <row r="626" s="4" customFormat="1" ht="14.25" customHeight="1" x14ac:dyDescent="0.3"/>
    <row r="627" s="4" customFormat="1" ht="14.25" customHeight="1" x14ac:dyDescent="0.3"/>
    <row r="628" s="4" customFormat="1" ht="14.25" customHeight="1" x14ac:dyDescent="0.3"/>
    <row r="629" s="4" customFormat="1" ht="14.25" customHeight="1" x14ac:dyDescent="0.3"/>
    <row r="630" s="4" customFormat="1" ht="14.25" customHeight="1" x14ac:dyDescent="0.3"/>
    <row r="631" s="4" customFormat="1" ht="14.25" customHeight="1" x14ac:dyDescent="0.3"/>
    <row r="632" s="4" customFormat="1" ht="14.25" customHeight="1" x14ac:dyDescent="0.3"/>
    <row r="633" s="4" customFormat="1" ht="14.25" customHeight="1" x14ac:dyDescent="0.3"/>
    <row r="634" s="4" customFormat="1" ht="14.25" customHeight="1" x14ac:dyDescent="0.3"/>
    <row r="635" s="4" customFormat="1" ht="14.25" customHeight="1" x14ac:dyDescent="0.3"/>
    <row r="636" s="4" customFormat="1" ht="14.25" customHeight="1" x14ac:dyDescent="0.3"/>
    <row r="637" s="4" customFormat="1" ht="14.25" customHeight="1" x14ac:dyDescent="0.3"/>
    <row r="638" s="4" customFormat="1" ht="14.25" customHeight="1" x14ac:dyDescent="0.3"/>
    <row r="639" s="4" customFormat="1" ht="14.25" customHeight="1" x14ac:dyDescent="0.3"/>
    <row r="640" s="4" customFormat="1" ht="14.25" customHeight="1" x14ac:dyDescent="0.3"/>
    <row r="641" s="4" customFormat="1" ht="14.25" customHeight="1" x14ac:dyDescent="0.3"/>
    <row r="642" s="4" customFormat="1" ht="14.25" customHeight="1" x14ac:dyDescent="0.3"/>
    <row r="643" s="4" customFormat="1" ht="14.25" customHeight="1" x14ac:dyDescent="0.3"/>
    <row r="644" s="4" customFormat="1" ht="14.25" customHeight="1" x14ac:dyDescent="0.3"/>
    <row r="645" s="4" customFormat="1" ht="14.25" customHeight="1" x14ac:dyDescent="0.3"/>
    <row r="646" s="4" customFormat="1" ht="14.25" customHeight="1" x14ac:dyDescent="0.3"/>
    <row r="647" s="4" customFormat="1" ht="14.25" customHeight="1" x14ac:dyDescent="0.3"/>
    <row r="648" s="4" customFormat="1" ht="14.25" customHeight="1" x14ac:dyDescent="0.3"/>
    <row r="649" s="4" customFormat="1" ht="14.25" customHeight="1" x14ac:dyDescent="0.3"/>
    <row r="650" s="4" customFormat="1" ht="14.25" customHeight="1" x14ac:dyDescent="0.3"/>
    <row r="651" s="4" customFormat="1" ht="14.25" customHeight="1" x14ac:dyDescent="0.3"/>
    <row r="652" s="4" customFormat="1" ht="14.25" customHeight="1" x14ac:dyDescent="0.3"/>
    <row r="653" s="4" customFormat="1" ht="14.25" customHeight="1" x14ac:dyDescent="0.3"/>
    <row r="654" s="4" customFormat="1" ht="14.25" customHeight="1" x14ac:dyDescent="0.3"/>
    <row r="655" s="4" customFormat="1" ht="14.25" customHeight="1" x14ac:dyDescent="0.3"/>
    <row r="656" s="4" customFormat="1" ht="14.25" customHeight="1" x14ac:dyDescent="0.3"/>
    <row r="657" s="4" customFormat="1" ht="14.25" customHeight="1" x14ac:dyDescent="0.3"/>
    <row r="658" s="4" customFormat="1" ht="14.25" customHeight="1" x14ac:dyDescent="0.3"/>
    <row r="659" s="4" customFormat="1" ht="14.25" customHeight="1" x14ac:dyDescent="0.3"/>
    <row r="660" s="4" customFormat="1" ht="14.25" customHeight="1" x14ac:dyDescent="0.3"/>
    <row r="661" s="4" customFormat="1" ht="14.25" customHeight="1" x14ac:dyDescent="0.3"/>
    <row r="662" s="4" customFormat="1" ht="14.25" customHeight="1" x14ac:dyDescent="0.3"/>
    <row r="663" s="4" customFormat="1" ht="14.25" customHeight="1" x14ac:dyDescent="0.3"/>
    <row r="664" s="4" customFormat="1" ht="14.25" customHeight="1" x14ac:dyDescent="0.3"/>
    <row r="665" s="4" customFormat="1" ht="14.25" customHeight="1" x14ac:dyDescent="0.3"/>
    <row r="666" s="4" customFormat="1" ht="14.25" customHeight="1" x14ac:dyDescent="0.3"/>
    <row r="667" s="4" customFormat="1" ht="14.25" customHeight="1" x14ac:dyDescent="0.3"/>
    <row r="668" s="4" customFormat="1" ht="14.25" customHeight="1" x14ac:dyDescent="0.3"/>
    <row r="669" s="4" customFormat="1" ht="14.25" customHeight="1" x14ac:dyDescent="0.3"/>
    <row r="670" s="4" customFormat="1" ht="14.25" customHeight="1" x14ac:dyDescent="0.3"/>
    <row r="671" s="4" customFormat="1" ht="14.25" customHeight="1" x14ac:dyDescent="0.3"/>
    <row r="672" s="4" customFormat="1" ht="14.25" customHeight="1" x14ac:dyDescent="0.3"/>
    <row r="673" s="4" customFormat="1" ht="14.25" customHeight="1" x14ac:dyDescent="0.3"/>
    <row r="674" s="4" customFormat="1" ht="14.25" customHeight="1" x14ac:dyDescent="0.3"/>
    <row r="675" s="4" customFormat="1" ht="14.25" customHeight="1" x14ac:dyDescent="0.3"/>
    <row r="676" s="4" customFormat="1" ht="14.25" customHeight="1" x14ac:dyDescent="0.3"/>
    <row r="677" s="4" customFormat="1" ht="14.25" customHeight="1" x14ac:dyDescent="0.3"/>
    <row r="678" s="4" customFormat="1" ht="14.25" customHeight="1" x14ac:dyDescent="0.3"/>
    <row r="679" s="4" customFormat="1" ht="14.25" customHeight="1" x14ac:dyDescent="0.3"/>
    <row r="680" s="4" customFormat="1" ht="14.25" customHeight="1" x14ac:dyDescent="0.3"/>
    <row r="681" s="4" customFormat="1" ht="14.25" customHeight="1" x14ac:dyDescent="0.3"/>
    <row r="682" s="4" customFormat="1" ht="14.25" customHeight="1" x14ac:dyDescent="0.3"/>
    <row r="683" s="4" customFormat="1" ht="14.25" customHeight="1" x14ac:dyDescent="0.3"/>
    <row r="684" s="4" customFormat="1" ht="14.25" customHeight="1" x14ac:dyDescent="0.3"/>
    <row r="685" s="4" customFormat="1" ht="14.25" customHeight="1" x14ac:dyDescent="0.3"/>
    <row r="686" s="4" customFormat="1" ht="14.25" customHeight="1" x14ac:dyDescent="0.3"/>
    <row r="687" s="4" customFormat="1" ht="14.25" customHeight="1" x14ac:dyDescent="0.3"/>
    <row r="688" s="4" customFormat="1" ht="14.25" customHeight="1" x14ac:dyDescent="0.3"/>
    <row r="689" s="4" customFormat="1" ht="14.25" customHeight="1" x14ac:dyDescent="0.3"/>
    <row r="690" s="4" customFormat="1" ht="14.25" customHeight="1" x14ac:dyDescent="0.3"/>
    <row r="691" s="4" customFormat="1" ht="14.25" customHeight="1" x14ac:dyDescent="0.3"/>
    <row r="692" s="4" customFormat="1" ht="14.25" customHeight="1" x14ac:dyDescent="0.3"/>
    <row r="693" s="4" customFormat="1" ht="14.25" customHeight="1" x14ac:dyDescent="0.3"/>
    <row r="694" s="4" customFormat="1" ht="14.25" customHeight="1" x14ac:dyDescent="0.3"/>
    <row r="695" s="4" customFormat="1" ht="14.25" customHeight="1" x14ac:dyDescent="0.3"/>
    <row r="696" s="4" customFormat="1" ht="14.25" customHeight="1" x14ac:dyDescent="0.3"/>
    <row r="697" s="4" customFormat="1" ht="14.25" customHeight="1" x14ac:dyDescent="0.3"/>
    <row r="698" s="4" customFormat="1" ht="14.25" customHeight="1" x14ac:dyDescent="0.3"/>
    <row r="699" s="4" customFormat="1" ht="14.25" customHeight="1" x14ac:dyDescent="0.3"/>
    <row r="700" s="4" customFormat="1" ht="14.25" customHeight="1" x14ac:dyDescent="0.3"/>
    <row r="701" s="4" customFormat="1" ht="14.25" customHeight="1" x14ac:dyDescent="0.3"/>
    <row r="702" s="4" customFormat="1" ht="14.25" customHeight="1" x14ac:dyDescent="0.3"/>
    <row r="703" s="4" customFormat="1" ht="14.25" customHeight="1" x14ac:dyDescent="0.3"/>
    <row r="704" s="4" customFormat="1" ht="14.25" customHeight="1" x14ac:dyDescent="0.3"/>
    <row r="705" s="4" customFormat="1" ht="14.25" customHeight="1" x14ac:dyDescent="0.3"/>
    <row r="706" s="4" customFormat="1" ht="14.25" customHeight="1" x14ac:dyDescent="0.3"/>
    <row r="707" s="4" customFormat="1" ht="14.25" customHeight="1" x14ac:dyDescent="0.3"/>
    <row r="708" s="4" customFormat="1" ht="14.25" customHeight="1" x14ac:dyDescent="0.3"/>
    <row r="709" s="4" customFormat="1" ht="14.25" customHeight="1" x14ac:dyDescent="0.3"/>
    <row r="710" s="4" customFormat="1" ht="14.25" customHeight="1" x14ac:dyDescent="0.3"/>
    <row r="711" s="4" customFormat="1" ht="14.25" customHeight="1" x14ac:dyDescent="0.3"/>
    <row r="712" s="4" customFormat="1" ht="14.25" customHeight="1" x14ac:dyDescent="0.3"/>
    <row r="713" s="4" customFormat="1" ht="14.25" customHeight="1" x14ac:dyDescent="0.3"/>
    <row r="714" s="4" customFormat="1" ht="14.25" customHeight="1" x14ac:dyDescent="0.3"/>
    <row r="715" s="4" customFormat="1" ht="14.25" customHeight="1" x14ac:dyDescent="0.3"/>
    <row r="716" s="4" customFormat="1" ht="14.25" customHeight="1" x14ac:dyDescent="0.3"/>
    <row r="717" s="4" customFormat="1" ht="14.25" customHeight="1" x14ac:dyDescent="0.3"/>
    <row r="718" s="4" customFormat="1" ht="14.25" customHeight="1" x14ac:dyDescent="0.3"/>
    <row r="719" s="4" customFormat="1" ht="14.25" customHeight="1" x14ac:dyDescent="0.3"/>
    <row r="720" s="4" customFormat="1" ht="14.25" customHeight="1" x14ac:dyDescent="0.3"/>
    <row r="721" s="4" customFormat="1" ht="14.25" customHeight="1" x14ac:dyDescent="0.3"/>
    <row r="722" s="4" customFormat="1" ht="14.25" customHeight="1" x14ac:dyDescent="0.3"/>
    <row r="723" s="4" customFormat="1" ht="14.25" customHeight="1" x14ac:dyDescent="0.3"/>
    <row r="724" s="4" customFormat="1" ht="14.25" customHeight="1" x14ac:dyDescent="0.3"/>
    <row r="725" s="4" customFormat="1" ht="14.25" customHeight="1" x14ac:dyDescent="0.3"/>
    <row r="726" s="4" customFormat="1" ht="14.25" customHeight="1" x14ac:dyDescent="0.3"/>
    <row r="727" s="4" customFormat="1" ht="14.25" customHeight="1" x14ac:dyDescent="0.3"/>
    <row r="728" s="4" customFormat="1" ht="14.25" customHeight="1" x14ac:dyDescent="0.3"/>
    <row r="729" s="4" customFormat="1" ht="14.25" customHeight="1" x14ac:dyDescent="0.3"/>
    <row r="730" s="4" customFormat="1" ht="14.25" customHeight="1" x14ac:dyDescent="0.3"/>
    <row r="731" s="4" customFormat="1" ht="14.25" customHeight="1" x14ac:dyDescent="0.3"/>
    <row r="732" s="4" customFormat="1" ht="14.25" customHeight="1" x14ac:dyDescent="0.3"/>
    <row r="733" s="4" customFormat="1" ht="14.25" customHeight="1" x14ac:dyDescent="0.3"/>
    <row r="734" s="4" customFormat="1" ht="14.25" customHeight="1" x14ac:dyDescent="0.3"/>
    <row r="735" s="4" customFormat="1" ht="14.25" customHeight="1" x14ac:dyDescent="0.3"/>
    <row r="736" s="4" customFormat="1" ht="14.25" customHeight="1" x14ac:dyDescent="0.3"/>
    <row r="737" s="4" customFormat="1" ht="14.25" customHeight="1" x14ac:dyDescent="0.3"/>
    <row r="738" s="4" customFormat="1" ht="14.25" customHeight="1" x14ac:dyDescent="0.3"/>
    <row r="739" s="4" customFormat="1" ht="14.25" customHeight="1" x14ac:dyDescent="0.3"/>
    <row r="740" s="4" customFormat="1" ht="14.25" customHeight="1" x14ac:dyDescent="0.3"/>
    <row r="741" s="4" customFormat="1" ht="14.25" customHeight="1" x14ac:dyDescent="0.3"/>
    <row r="742" s="4" customFormat="1" ht="14.25" customHeight="1" x14ac:dyDescent="0.3"/>
    <row r="743" s="4" customFormat="1" ht="14.25" customHeight="1" x14ac:dyDescent="0.3"/>
    <row r="744" s="4" customFormat="1" ht="14.25" customHeight="1" x14ac:dyDescent="0.3"/>
    <row r="745" s="4" customFormat="1" ht="14.25" customHeight="1" x14ac:dyDescent="0.3"/>
    <row r="746" s="4" customFormat="1" ht="14.25" customHeight="1" x14ac:dyDescent="0.3"/>
    <row r="747" s="4" customFormat="1" ht="14.25" customHeight="1" x14ac:dyDescent="0.3"/>
    <row r="748" s="4" customFormat="1" ht="14.25" customHeight="1" x14ac:dyDescent="0.3"/>
    <row r="749" s="4" customFormat="1" ht="14.25" customHeight="1" x14ac:dyDescent="0.3"/>
    <row r="750" s="4" customFormat="1" ht="14.25" customHeight="1" x14ac:dyDescent="0.3"/>
    <row r="751" s="4" customFormat="1" ht="14.25" customHeight="1" x14ac:dyDescent="0.3"/>
    <row r="752" s="4" customFormat="1" ht="14.25" customHeight="1" x14ac:dyDescent="0.3"/>
    <row r="753" s="4" customFormat="1" ht="14.25" customHeight="1" x14ac:dyDescent="0.3"/>
    <row r="754" s="4" customFormat="1" ht="14.25" customHeight="1" x14ac:dyDescent="0.3"/>
    <row r="755" s="4" customFormat="1" ht="14.25" customHeight="1" x14ac:dyDescent="0.3"/>
    <row r="756" s="4" customFormat="1" ht="14.25" customHeight="1" x14ac:dyDescent="0.3"/>
    <row r="757" s="4" customFormat="1" ht="14.25" customHeight="1" x14ac:dyDescent="0.3"/>
    <row r="758" s="4" customFormat="1" ht="14.25" customHeight="1" x14ac:dyDescent="0.3"/>
    <row r="759" s="4" customFormat="1" ht="14.25" customHeight="1" x14ac:dyDescent="0.3"/>
    <row r="760" s="4" customFormat="1" ht="14.25" customHeight="1" x14ac:dyDescent="0.3"/>
    <row r="761" s="4" customFormat="1" ht="14.25" customHeight="1" x14ac:dyDescent="0.3"/>
    <row r="762" s="4" customFormat="1" ht="14.25" customHeight="1" x14ac:dyDescent="0.3"/>
    <row r="763" s="4" customFormat="1" ht="14.25" customHeight="1" x14ac:dyDescent="0.3"/>
    <row r="764" s="4" customFormat="1" ht="14.25" customHeight="1" x14ac:dyDescent="0.3"/>
    <row r="765" s="4" customFormat="1" ht="14.25" customHeight="1" x14ac:dyDescent="0.3"/>
    <row r="766" s="4" customFormat="1" ht="14.25" customHeight="1" x14ac:dyDescent="0.3"/>
    <row r="767" s="4" customFormat="1" ht="14.25" customHeight="1" x14ac:dyDescent="0.3"/>
    <row r="768" s="4" customFormat="1" ht="14.25" customHeight="1" x14ac:dyDescent="0.3"/>
    <row r="769" s="4" customFormat="1" ht="14.25" customHeight="1" x14ac:dyDescent="0.3"/>
    <row r="770" s="4" customFormat="1" ht="14.25" customHeight="1" x14ac:dyDescent="0.3"/>
    <row r="771" s="4" customFormat="1" ht="14.25" customHeight="1" x14ac:dyDescent="0.3"/>
    <row r="772" s="4" customFormat="1" ht="14.25" customHeight="1" x14ac:dyDescent="0.3"/>
    <row r="773" s="4" customFormat="1" ht="14.25" customHeight="1" x14ac:dyDescent="0.3"/>
    <row r="774" s="4" customFormat="1" ht="14.25" customHeight="1" x14ac:dyDescent="0.3"/>
    <row r="775" s="4" customFormat="1" ht="14.25" customHeight="1" x14ac:dyDescent="0.3"/>
    <row r="776" s="4" customFormat="1" ht="14.25" customHeight="1" x14ac:dyDescent="0.3"/>
    <row r="777" s="4" customFormat="1" ht="14.25" customHeight="1" x14ac:dyDescent="0.3"/>
    <row r="778" s="4" customFormat="1" ht="14.25" customHeight="1" x14ac:dyDescent="0.3"/>
    <row r="779" s="4" customFormat="1" ht="14.25" customHeight="1" x14ac:dyDescent="0.3"/>
    <row r="780" s="4" customFormat="1" ht="14.25" customHeight="1" x14ac:dyDescent="0.3"/>
    <row r="781" s="4" customFormat="1" ht="14.25" customHeight="1" x14ac:dyDescent="0.3"/>
    <row r="782" s="4" customFormat="1" ht="14.25" customHeight="1" x14ac:dyDescent="0.3"/>
    <row r="783" s="4" customFormat="1" ht="14.25" customHeight="1" x14ac:dyDescent="0.3"/>
    <row r="784" s="4" customFormat="1" ht="14.25" customHeight="1" x14ac:dyDescent="0.3"/>
    <row r="785" s="4" customFormat="1" ht="14.25" customHeight="1" x14ac:dyDescent="0.3"/>
    <row r="786" s="4" customFormat="1" ht="14.25" customHeight="1" x14ac:dyDescent="0.3"/>
    <row r="787" s="4" customFormat="1" ht="14.25" customHeight="1" x14ac:dyDescent="0.3"/>
    <row r="788" s="4" customFormat="1" ht="14.25" customHeight="1" x14ac:dyDescent="0.3"/>
    <row r="789" s="4" customFormat="1" ht="14.25" customHeight="1" x14ac:dyDescent="0.3"/>
    <row r="790" s="4" customFormat="1" ht="14.25" customHeight="1" x14ac:dyDescent="0.3"/>
    <row r="791" s="4" customFormat="1" ht="14.25" customHeight="1" x14ac:dyDescent="0.3"/>
    <row r="792" s="4" customFormat="1" ht="14.25" customHeight="1" x14ac:dyDescent="0.3"/>
    <row r="793" s="4" customFormat="1" ht="14.25" customHeight="1" x14ac:dyDescent="0.3"/>
    <row r="794" s="4" customFormat="1" ht="14.25" customHeight="1" x14ac:dyDescent="0.3"/>
    <row r="795" s="4" customFormat="1" ht="14.25" customHeight="1" x14ac:dyDescent="0.3"/>
    <row r="796" s="4" customFormat="1" ht="14.25" customHeight="1" x14ac:dyDescent="0.3"/>
    <row r="797" s="4" customFormat="1" ht="14.25" customHeight="1" x14ac:dyDescent="0.3"/>
    <row r="798" s="4" customFormat="1" ht="14.25" customHeight="1" x14ac:dyDescent="0.3"/>
    <row r="799" s="4" customFormat="1" ht="14.25" customHeight="1" x14ac:dyDescent="0.3"/>
    <row r="800" s="4" customFormat="1" ht="14.25" customHeight="1" x14ac:dyDescent="0.3"/>
    <row r="801" s="4" customFormat="1" ht="14.25" customHeight="1" x14ac:dyDescent="0.3"/>
    <row r="802" s="4" customFormat="1" ht="14.25" customHeight="1" x14ac:dyDescent="0.3"/>
    <row r="803" s="4" customFormat="1" ht="14.25" customHeight="1" x14ac:dyDescent="0.3"/>
    <row r="804" s="4" customFormat="1" ht="14.25" customHeight="1" x14ac:dyDescent="0.3"/>
    <row r="805" s="4" customFormat="1" ht="14.25" customHeight="1" x14ac:dyDescent="0.3"/>
    <row r="806" s="4" customFormat="1" ht="14.25" customHeight="1" x14ac:dyDescent="0.3"/>
    <row r="807" s="4" customFormat="1" ht="14.25" customHeight="1" x14ac:dyDescent="0.3"/>
    <row r="808" s="4" customFormat="1" ht="14.25" customHeight="1" x14ac:dyDescent="0.3"/>
    <row r="809" s="4" customFormat="1" ht="14.25" customHeight="1" x14ac:dyDescent="0.3"/>
    <row r="810" s="4" customFormat="1" ht="14.25" customHeight="1" x14ac:dyDescent="0.3"/>
    <row r="811" s="4" customFormat="1" ht="14.25" customHeight="1" x14ac:dyDescent="0.3"/>
    <row r="812" s="4" customFormat="1" ht="14.25" customHeight="1" x14ac:dyDescent="0.3"/>
    <row r="813" s="4" customFormat="1" ht="14.25" customHeight="1" x14ac:dyDescent="0.3"/>
    <row r="814" s="4" customFormat="1" ht="14.25" customHeight="1" x14ac:dyDescent="0.3"/>
    <row r="815" s="4" customFormat="1" ht="14.25" customHeight="1" x14ac:dyDescent="0.3"/>
    <row r="816" s="4" customFormat="1" ht="14.25" customHeight="1" x14ac:dyDescent="0.3"/>
    <row r="817" s="4" customFormat="1" ht="14.25" customHeight="1" x14ac:dyDescent="0.3"/>
    <row r="818" s="4" customFormat="1" ht="14.25" customHeight="1" x14ac:dyDescent="0.3"/>
    <row r="819" s="4" customFormat="1" ht="14.25" customHeight="1" x14ac:dyDescent="0.3"/>
    <row r="820" s="4" customFormat="1" ht="14.25" customHeight="1" x14ac:dyDescent="0.3"/>
    <row r="821" s="4" customFormat="1" ht="14.25" customHeight="1" x14ac:dyDescent="0.3"/>
    <row r="822" s="4" customFormat="1" ht="14.25" customHeight="1" x14ac:dyDescent="0.3"/>
    <row r="823" s="4" customFormat="1" ht="14.25" customHeight="1" x14ac:dyDescent="0.3"/>
    <row r="824" s="4" customFormat="1" ht="14.25" customHeight="1" x14ac:dyDescent="0.3"/>
    <row r="825" s="4" customFormat="1" ht="14.25" customHeight="1" x14ac:dyDescent="0.3"/>
    <row r="826" s="4" customFormat="1" ht="14.25" customHeight="1" x14ac:dyDescent="0.3"/>
    <row r="827" s="4" customFormat="1" ht="14.25" customHeight="1" x14ac:dyDescent="0.3"/>
    <row r="828" s="4" customFormat="1" ht="14.25" customHeight="1" x14ac:dyDescent="0.3"/>
    <row r="829" s="4" customFormat="1" ht="14.25" customHeight="1" x14ac:dyDescent="0.3"/>
    <row r="830" s="4" customFormat="1" ht="14.25" customHeight="1" x14ac:dyDescent="0.3"/>
    <row r="831" s="4" customFormat="1" ht="14.25" customHeight="1" x14ac:dyDescent="0.3"/>
    <row r="832" s="4" customFormat="1" ht="14.25" customHeight="1" x14ac:dyDescent="0.3"/>
    <row r="833" s="4" customFormat="1" ht="14.25" customHeight="1" x14ac:dyDescent="0.3"/>
    <row r="834" s="4" customFormat="1" ht="14.25" customHeight="1" x14ac:dyDescent="0.3"/>
    <row r="835" s="4" customFormat="1" ht="14.25" customHeight="1" x14ac:dyDescent="0.3"/>
    <row r="836" s="4" customFormat="1" ht="14.25" customHeight="1" x14ac:dyDescent="0.3"/>
    <row r="837" s="4" customFormat="1" ht="14.25" customHeight="1" x14ac:dyDescent="0.3"/>
    <row r="838" s="4" customFormat="1" ht="14.25" customHeight="1" x14ac:dyDescent="0.3"/>
    <row r="839" s="4" customFormat="1" ht="14.25" customHeight="1" x14ac:dyDescent="0.3"/>
    <row r="840" s="4" customFormat="1" ht="14.25" customHeight="1" x14ac:dyDescent="0.3"/>
    <row r="841" s="4" customFormat="1" ht="14.25" customHeight="1" x14ac:dyDescent="0.3"/>
    <row r="842" s="4" customFormat="1" ht="14.25" customHeight="1" x14ac:dyDescent="0.3"/>
    <row r="843" s="4" customFormat="1" ht="14.25" customHeight="1" x14ac:dyDescent="0.3"/>
    <row r="844" s="4" customFormat="1" ht="14.25" customHeight="1" x14ac:dyDescent="0.3"/>
    <row r="845" s="4" customFormat="1" ht="14.25" customHeight="1" x14ac:dyDescent="0.3"/>
    <row r="846" s="4" customFormat="1" ht="14.25" customHeight="1" x14ac:dyDescent="0.3"/>
    <row r="847" s="4" customFormat="1" ht="14.25" customHeight="1" x14ac:dyDescent="0.3"/>
    <row r="848" s="4" customFormat="1" ht="14.25" customHeight="1" x14ac:dyDescent="0.3"/>
    <row r="849" s="4" customFormat="1" ht="14.25" customHeight="1" x14ac:dyDescent="0.3"/>
    <row r="850" s="4" customFormat="1" ht="14.25" customHeight="1" x14ac:dyDescent="0.3"/>
    <row r="851" s="4" customFormat="1" ht="14.25" customHeight="1" x14ac:dyDescent="0.3"/>
    <row r="852" s="4" customFormat="1" ht="14.25" customHeight="1" x14ac:dyDescent="0.3"/>
    <row r="853" s="4" customFormat="1" ht="14.25" customHeight="1" x14ac:dyDescent="0.3"/>
    <row r="854" s="4" customFormat="1" ht="14.25" customHeight="1" x14ac:dyDescent="0.3"/>
    <row r="855" s="4" customFormat="1" ht="14.25" customHeight="1" x14ac:dyDescent="0.3"/>
    <row r="856" s="4" customFormat="1" ht="14.25" customHeight="1" x14ac:dyDescent="0.3"/>
    <row r="857" s="4" customFormat="1" ht="14.25" customHeight="1" x14ac:dyDescent="0.3"/>
    <row r="858" s="4" customFormat="1" ht="14.25" customHeight="1" x14ac:dyDescent="0.3"/>
    <row r="859" s="4" customFormat="1" ht="14.25" customHeight="1" x14ac:dyDescent="0.3"/>
    <row r="860" s="4" customFormat="1" ht="14.25" customHeight="1" x14ac:dyDescent="0.3"/>
    <row r="861" s="4" customFormat="1" ht="14.25" customHeight="1" x14ac:dyDescent="0.3"/>
    <row r="862" s="4" customFormat="1" ht="14.25" customHeight="1" x14ac:dyDescent="0.3"/>
    <row r="863" s="4" customFormat="1" ht="14.25" customHeight="1" x14ac:dyDescent="0.3"/>
    <row r="864" s="4" customFormat="1" ht="14.25" customHeight="1" x14ac:dyDescent="0.3"/>
    <row r="865" s="4" customFormat="1" ht="14.25" customHeight="1" x14ac:dyDescent="0.3"/>
    <row r="866" s="4" customFormat="1" ht="14.25" customHeight="1" x14ac:dyDescent="0.3"/>
    <row r="867" s="4" customFormat="1" ht="14.25" customHeight="1" x14ac:dyDescent="0.3"/>
    <row r="868" s="4" customFormat="1" ht="14.25" customHeight="1" x14ac:dyDescent="0.3"/>
    <row r="869" s="4" customFormat="1" ht="14.25" customHeight="1" x14ac:dyDescent="0.3"/>
    <row r="870" s="4" customFormat="1" ht="14.25" customHeight="1" x14ac:dyDescent="0.3"/>
    <row r="871" s="4" customFormat="1" ht="14.25" customHeight="1" x14ac:dyDescent="0.3"/>
    <row r="872" s="4" customFormat="1" ht="14.25" customHeight="1" x14ac:dyDescent="0.3"/>
    <row r="873" s="4" customFormat="1" ht="14.25" customHeight="1" x14ac:dyDescent="0.3"/>
    <row r="874" s="4" customFormat="1" ht="14.25" customHeight="1" x14ac:dyDescent="0.3"/>
    <row r="875" s="4" customFormat="1" ht="14.25" customHeight="1" x14ac:dyDescent="0.3"/>
    <row r="876" s="4" customFormat="1" ht="14.25" customHeight="1" x14ac:dyDescent="0.3"/>
    <row r="877" s="4" customFormat="1" ht="14.25" customHeight="1" x14ac:dyDescent="0.3"/>
    <row r="878" s="4" customFormat="1" ht="14.25" customHeight="1" x14ac:dyDescent="0.3"/>
    <row r="879" s="4" customFormat="1" ht="14.25" customHeight="1" x14ac:dyDescent="0.3"/>
    <row r="880" s="4" customFormat="1" ht="14.25" customHeight="1" x14ac:dyDescent="0.3"/>
    <row r="881" s="4" customFormat="1" ht="14.25" customHeight="1" x14ac:dyDescent="0.3"/>
    <row r="882" s="4" customFormat="1" ht="14.25" customHeight="1" x14ac:dyDescent="0.3"/>
    <row r="883" s="4" customFormat="1" ht="14.25" customHeight="1" x14ac:dyDescent="0.3"/>
    <row r="884" s="4" customFormat="1" ht="14.25" customHeight="1" x14ac:dyDescent="0.3"/>
    <row r="885" s="4" customFormat="1" ht="14.25" customHeight="1" x14ac:dyDescent="0.3"/>
    <row r="886" s="4" customFormat="1" ht="14.25" customHeight="1" x14ac:dyDescent="0.3"/>
    <row r="887" s="4" customFormat="1" ht="14.25" customHeight="1" x14ac:dyDescent="0.3"/>
    <row r="888" s="4" customFormat="1" ht="14.25" customHeight="1" x14ac:dyDescent="0.3"/>
    <row r="889" s="4" customFormat="1" ht="14.25" customHeight="1" x14ac:dyDescent="0.3"/>
    <row r="890" s="4" customFormat="1" ht="14.25" customHeight="1" x14ac:dyDescent="0.3"/>
    <row r="891" s="4" customFormat="1" ht="14.25" customHeight="1" x14ac:dyDescent="0.3"/>
    <row r="892" s="4" customFormat="1" ht="14.25" customHeight="1" x14ac:dyDescent="0.3"/>
    <row r="893" s="4" customFormat="1" ht="14.25" customHeight="1" x14ac:dyDescent="0.3"/>
    <row r="894" s="4" customFormat="1" ht="14.25" customHeight="1" x14ac:dyDescent="0.3"/>
    <row r="895" s="4" customFormat="1" ht="14.25" customHeight="1" x14ac:dyDescent="0.3"/>
    <row r="896" s="4" customFormat="1" ht="14.25" customHeight="1" x14ac:dyDescent="0.3"/>
    <row r="897" s="4" customFormat="1" ht="14.25" customHeight="1" x14ac:dyDescent="0.3"/>
    <row r="898" s="4" customFormat="1" ht="14.25" customHeight="1" x14ac:dyDescent="0.3"/>
    <row r="899" s="4" customFormat="1" ht="14.25" customHeight="1" x14ac:dyDescent="0.3"/>
    <row r="900" s="4" customFormat="1" ht="14.25" customHeight="1" x14ac:dyDescent="0.3"/>
    <row r="901" s="4" customFormat="1" ht="14.25" customHeight="1" x14ac:dyDescent="0.3"/>
    <row r="902" s="4" customFormat="1" ht="14.25" customHeight="1" x14ac:dyDescent="0.3"/>
    <row r="903" s="4" customFormat="1" ht="14.25" customHeight="1" x14ac:dyDescent="0.3"/>
    <row r="904" s="4" customFormat="1" ht="14.25" customHeight="1" x14ac:dyDescent="0.3"/>
    <row r="905" s="4" customFormat="1" ht="14.25" customHeight="1" x14ac:dyDescent="0.3"/>
    <row r="906" s="4" customFormat="1" ht="14.25" customHeight="1" x14ac:dyDescent="0.3"/>
    <row r="907" s="4" customFormat="1" ht="14.25" customHeight="1" x14ac:dyDescent="0.3"/>
    <row r="908" s="4" customFormat="1" ht="14.25" customHeight="1" x14ac:dyDescent="0.3"/>
    <row r="909" s="4" customFormat="1" ht="14.25" customHeight="1" x14ac:dyDescent="0.3"/>
    <row r="910" s="4" customFormat="1" ht="14.25" customHeight="1" x14ac:dyDescent="0.3"/>
    <row r="911" s="4" customFormat="1" ht="14.25" customHeight="1" x14ac:dyDescent="0.3"/>
    <row r="912" s="4" customFormat="1" ht="14.25" customHeight="1" x14ac:dyDescent="0.3"/>
    <row r="913" s="4" customFormat="1" ht="14.25" customHeight="1" x14ac:dyDescent="0.3"/>
    <row r="914" s="4" customFormat="1" ht="14.25" customHeight="1" x14ac:dyDescent="0.3"/>
    <row r="915" s="4" customFormat="1" ht="14.25" customHeight="1" x14ac:dyDescent="0.3"/>
    <row r="916" s="4" customFormat="1" ht="14.25" customHeight="1" x14ac:dyDescent="0.3"/>
    <row r="917" s="4" customFormat="1" ht="14.25" customHeight="1" x14ac:dyDescent="0.3"/>
    <row r="918" s="4" customFormat="1" ht="14.25" customHeight="1" x14ac:dyDescent="0.3"/>
    <row r="919" s="4" customFormat="1" ht="14.25" customHeight="1" x14ac:dyDescent="0.3"/>
    <row r="920" s="4" customFormat="1" ht="14.25" customHeight="1" x14ac:dyDescent="0.3"/>
    <row r="921" s="4" customFormat="1" ht="14.25" customHeight="1" x14ac:dyDescent="0.3"/>
    <row r="922" s="4" customFormat="1" ht="14.25" customHeight="1" x14ac:dyDescent="0.3"/>
    <row r="923" s="4" customFormat="1" ht="14.25" customHeight="1" x14ac:dyDescent="0.3"/>
    <row r="924" s="4" customFormat="1" ht="14.25" customHeight="1" x14ac:dyDescent="0.3"/>
    <row r="925" s="4" customFormat="1" ht="14.25" customHeight="1" x14ac:dyDescent="0.3"/>
    <row r="926" s="4" customFormat="1" ht="14.25" customHeight="1" x14ac:dyDescent="0.3"/>
    <row r="927" s="4" customFormat="1" ht="14.25" customHeight="1" x14ac:dyDescent="0.3"/>
    <row r="928" s="4" customFormat="1" ht="14.25" customHeight="1" x14ac:dyDescent="0.3"/>
    <row r="929" s="4" customFormat="1" ht="14.25" customHeight="1" x14ac:dyDescent="0.3"/>
    <row r="930" s="4" customFormat="1" ht="14.25" customHeight="1" x14ac:dyDescent="0.3"/>
    <row r="931" s="4" customFormat="1" ht="14.25" customHeight="1" x14ac:dyDescent="0.3"/>
    <row r="932" s="4" customFormat="1" ht="14.25" customHeight="1" x14ac:dyDescent="0.3"/>
    <row r="933" s="4" customFormat="1" ht="14.25" customHeight="1" x14ac:dyDescent="0.3"/>
    <row r="934" s="4" customFormat="1" ht="14.25" customHeight="1" x14ac:dyDescent="0.3"/>
    <row r="935" s="4" customFormat="1" ht="14.25" customHeight="1" x14ac:dyDescent="0.3"/>
    <row r="936" s="4" customFormat="1" ht="14.25" customHeight="1" x14ac:dyDescent="0.3"/>
    <row r="937" s="4" customFormat="1" ht="14.25" customHeight="1" x14ac:dyDescent="0.3"/>
    <row r="938" s="4" customFormat="1" ht="14.25" customHeight="1" x14ac:dyDescent="0.3"/>
    <row r="939" s="4" customFormat="1" ht="14.25" customHeight="1" x14ac:dyDescent="0.3"/>
    <row r="940" s="4" customFormat="1" ht="14.25" customHeight="1" x14ac:dyDescent="0.3"/>
    <row r="941" s="4" customFormat="1" ht="14.25" customHeight="1" x14ac:dyDescent="0.3"/>
    <row r="942" s="4" customFormat="1" ht="14.25" customHeight="1" x14ac:dyDescent="0.3"/>
    <row r="943" s="4" customFormat="1" ht="14.25" customHeight="1" x14ac:dyDescent="0.3"/>
    <row r="944" s="4" customFormat="1" ht="14.25" customHeight="1" x14ac:dyDescent="0.3"/>
    <row r="945" s="4" customFormat="1" ht="14.25" customHeight="1" x14ac:dyDescent="0.3"/>
    <row r="946" s="4" customFormat="1" ht="14.25" customHeight="1" x14ac:dyDescent="0.3"/>
    <row r="947" s="4" customFormat="1" ht="14.25" customHeight="1" x14ac:dyDescent="0.3"/>
    <row r="948" s="4" customFormat="1" ht="14.25" customHeight="1" x14ac:dyDescent="0.3"/>
    <row r="949" s="4" customFormat="1" ht="14.25" customHeight="1" x14ac:dyDescent="0.3"/>
    <row r="950" s="4" customFormat="1" ht="14.25" customHeight="1" x14ac:dyDescent="0.3"/>
    <row r="951" s="4" customFormat="1" ht="14.25" customHeight="1" x14ac:dyDescent="0.3"/>
    <row r="952" s="4" customFormat="1" ht="14.25" customHeight="1" x14ac:dyDescent="0.3"/>
    <row r="953" s="4" customFormat="1" ht="14.25" customHeight="1" x14ac:dyDescent="0.3"/>
    <row r="954" s="4" customFormat="1" ht="14.25" customHeight="1" x14ac:dyDescent="0.3"/>
    <row r="955" s="4" customFormat="1" ht="14.25" customHeight="1" x14ac:dyDescent="0.3"/>
    <row r="956" s="4" customFormat="1" ht="14.25" customHeight="1" x14ac:dyDescent="0.3"/>
    <row r="957" s="4" customFormat="1" ht="14.25" customHeight="1" x14ac:dyDescent="0.3"/>
    <row r="958" s="4" customFormat="1" ht="14.25" customHeight="1" x14ac:dyDescent="0.3"/>
    <row r="959" s="4" customFormat="1" ht="14.25" customHeight="1" x14ac:dyDescent="0.3"/>
    <row r="960" s="4" customFormat="1" ht="14.25" customHeight="1" x14ac:dyDescent="0.3"/>
    <row r="961" s="4" customFormat="1" ht="14.25" customHeight="1" x14ac:dyDescent="0.3"/>
    <row r="962" s="4" customFormat="1" ht="14.25" customHeight="1" x14ac:dyDescent="0.3"/>
    <row r="963" s="4" customFormat="1" ht="14.25" customHeight="1" x14ac:dyDescent="0.3"/>
    <row r="964" s="4" customFormat="1" ht="14.25" customHeight="1" x14ac:dyDescent="0.3"/>
    <row r="965" s="4" customFormat="1" ht="14.25" customHeight="1" x14ac:dyDescent="0.3"/>
    <row r="966" s="4" customFormat="1" ht="14.25" customHeight="1" x14ac:dyDescent="0.3"/>
    <row r="967" s="4" customFormat="1" ht="14.25" customHeight="1" x14ac:dyDescent="0.3"/>
    <row r="968" s="4" customFormat="1" ht="14.25" customHeight="1" x14ac:dyDescent="0.3"/>
    <row r="969" s="4" customFormat="1" ht="14.25" customHeight="1" x14ac:dyDescent="0.3"/>
    <row r="970" s="4" customFormat="1" ht="14.25" customHeight="1" x14ac:dyDescent="0.3"/>
    <row r="971" s="4" customFormat="1" ht="14.25" customHeight="1" x14ac:dyDescent="0.3"/>
    <row r="972" s="4" customFormat="1" ht="14.25" customHeight="1" x14ac:dyDescent="0.3"/>
    <row r="973" s="4" customFormat="1" ht="14.25" customHeight="1" x14ac:dyDescent="0.3"/>
    <row r="974" s="4" customFormat="1" ht="14.25" customHeight="1" x14ac:dyDescent="0.3"/>
    <row r="975" s="4" customFormat="1" ht="14.25" customHeight="1" x14ac:dyDescent="0.3"/>
    <row r="976" s="4" customFormat="1" ht="14.25" customHeight="1" x14ac:dyDescent="0.3"/>
    <row r="977" s="4" customFormat="1" ht="14.25" customHeight="1" x14ac:dyDescent="0.3"/>
    <row r="978" s="4" customFormat="1" ht="14.25" customHeight="1" x14ac:dyDescent="0.3"/>
    <row r="979" s="4" customFormat="1" ht="14.25" customHeight="1" x14ac:dyDescent="0.3"/>
    <row r="980" s="4" customFormat="1" ht="14.25" customHeight="1" x14ac:dyDescent="0.3"/>
    <row r="981" s="4" customFormat="1" ht="14.25" customHeight="1" x14ac:dyDescent="0.3"/>
    <row r="982" s="4" customFormat="1" ht="14.25" customHeight="1" x14ac:dyDescent="0.3"/>
    <row r="983" s="4" customFormat="1" ht="14.25" customHeight="1" x14ac:dyDescent="0.3"/>
    <row r="984" s="4" customFormat="1" ht="14.25" customHeight="1" x14ac:dyDescent="0.3"/>
    <row r="985" s="4" customFormat="1" ht="14.25" customHeight="1" x14ac:dyDescent="0.3"/>
    <row r="986" s="4" customFormat="1" ht="14.25" customHeight="1" x14ac:dyDescent="0.3"/>
    <row r="987" s="4" customFormat="1" ht="14.25" customHeight="1" x14ac:dyDescent="0.3"/>
    <row r="988" s="4" customFormat="1" ht="14.25" customHeight="1" x14ac:dyDescent="0.3"/>
    <row r="989" s="4" customFormat="1" ht="14.25" customHeight="1" x14ac:dyDescent="0.3"/>
    <row r="990" s="4" customFormat="1" ht="14.25" customHeight="1" x14ac:dyDescent="0.3"/>
    <row r="991" s="4" customFormat="1" ht="14.25" customHeight="1" x14ac:dyDescent="0.3"/>
    <row r="992" s="4" customFormat="1" x14ac:dyDescent="0.3"/>
    <row r="993" s="4" customFormat="1" x14ac:dyDescent="0.3"/>
  </sheetData>
  <mergeCells count="2">
    <mergeCell ref="D5:F5"/>
    <mergeCell ref="D2:F2"/>
  </mergeCells>
  <conditionalFormatting sqref="H9:H26">
    <cfRule type="cellIs" dxfId="6" priority="1" operator="equal">
      <formula>"Fail"</formula>
    </cfRule>
  </conditionalFormatting>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D0D2-B206-4206-9F90-CE738936749F}">
  <dimension ref="A1:I994"/>
  <sheetViews>
    <sheetView tabSelected="1" topLeftCell="B9" zoomScale="70" zoomScaleNormal="70" workbookViewId="0">
      <selection activeCell="F31" sqref="F31"/>
    </sheetView>
  </sheetViews>
  <sheetFormatPr defaultColWidth="14.44140625" defaultRowHeight="15.6" x14ac:dyDescent="0.3"/>
  <cols>
    <col min="1" max="1" width="17.33203125" style="4" customWidth="1"/>
    <col min="2" max="2" width="29.44140625" style="4" customWidth="1"/>
    <col min="3" max="3" width="20.21875" style="4" bestFit="1" customWidth="1"/>
    <col min="4" max="4" width="37.88671875" style="4" customWidth="1"/>
    <col min="5" max="5" width="17.21875" style="4" customWidth="1"/>
    <col min="6" max="6" width="34.88671875" style="4" bestFit="1" customWidth="1"/>
    <col min="7" max="7" width="32.6640625" style="4" customWidth="1"/>
    <col min="8" max="8" width="8.44140625" style="4" customWidth="1"/>
    <col min="9" max="9" width="25.88671875" style="4" customWidth="1"/>
    <col min="10" max="25" width="8.6640625" style="4" customWidth="1"/>
    <col min="26" max="16384" width="14.44140625" style="4"/>
  </cols>
  <sheetData>
    <row r="1" spans="1:9" ht="16.2" thickBot="1" x14ac:dyDescent="0.35">
      <c r="A1" s="1" t="s">
        <v>0</v>
      </c>
      <c r="B1" s="2" t="s">
        <v>22</v>
      </c>
      <c r="G1" s="3"/>
      <c r="H1" s="3"/>
      <c r="I1" s="3"/>
    </row>
    <row r="2" spans="1:9" ht="16.2" thickBot="1" x14ac:dyDescent="0.35">
      <c r="A2" s="1" t="s">
        <v>2</v>
      </c>
      <c r="B2" s="2" t="s">
        <v>112</v>
      </c>
      <c r="C2" s="3"/>
      <c r="D2" s="62" t="s">
        <v>1</v>
      </c>
      <c r="E2" s="63"/>
      <c r="F2" s="64"/>
      <c r="G2" s="3"/>
      <c r="H2" s="3"/>
      <c r="I2" s="3"/>
    </row>
    <row r="3" spans="1:9" ht="16.2" thickBot="1" x14ac:dyDescent="0.35">
      <c r="A3" s="1" t="s">
        <v>3</v>
      </c>
      <c r="B3" s="2" t="s">
        <v>21</v>
      </c>
      <c r="C3" s="3"/>
      <c r="D3" s="3"/>
      <c r="E3" s="3"/>
      <c r="F3" s="3"/>
      <c r="G3" s="3"/>
      <c r="H3" s="3"/>
      <c r="I3" s="3"/>
    </row>
    <row r="4" spans="1:9" ht="16.2" thickBot="1" x14ac:dyDescent="0.35">
      <c r="A4" s="1" t="s">
        <v>4</v>
      </c>
      <c r="B4" s="5">
        <v>45976</v>
      </c>
      <c r="C4" s="6"/>
      <c r="D4" s="3"/>
      <c r="E4" s="3"/>
      <c r="F4" s="3"/>
      <c r="G4" s="3"/>
      <c r="H4" s="3"/>
      <c r="I4" s="3"/>
    </row>
    <row r="5" spans="1:9" ht="16.2" thickBot="1" x14ac:dyDescent="0.35">
      <c r="A5" s="1" t="s">
        <v>5</v>
      </c>
      <c r="B5" s="2" t="s">
        <v>6</v>
      </c>
      <c r="C5" s="3"/>
      <c r="D5" s="59" t="s">
        <v>266</v>
      </c>
      <c r="E5" s="60"/>
      <c r="F5" s="61"/>
      <c r="G5" s="3"/>
      <c r="H5" s="3"/>
      <c r="I5" s="3"/>
    </row>
    <row r="6" spans="1:9" ht="16.2" thickBot="1" x14ac:dyDescent="0.35">
      <c r="A6" s="1" t="s">
        <v>7</v>
      </c>
      <c r="B6" s="32">
        <v>45983</v>
      </c>
      <c r="C6" s="7"/>
      <c r="D6" s="3"/>
      <c r="E6" s="3"/>
      <c r="F6" s="3"/>
      <c r="G6" s="3"/>
      <c r="H6" s="3"/>
      <c r="I6" s="3"/>
    </row>
    <row r="7" spans="1:9" ht="14.25" customHeight="1" thickBot="1" x14ac:dyDescent="0.35">
      <c r="A7" s="8"/>
      <c r="B7" s="8"/>
      <c r="C7" s="8"/>
      <c r="D7" s="8"/>
      <c r="E7" s="8"/>
      <c r="F7" s="8"/>
      <c r="G7" s="8"/>
      <c r="H7" s="8"/>
      <c r="I7" s="8"/>
    </row>
    <row r="8" spans="1:9" ht="16.2" thickBot="1" x14ac:dyDescent="0.35">
      <c r="A8" s="9" t="s">
        <v>8</v>
      </c>
      <c r="B8" s="9" t="s">
        <v>9</v>
      </c>
      <c r="C8" s="9" t="s">
        <v>10</v>
      </c>
      <c r="D8" s="27" t="s">
        <v>11</v>
      </c>
      <c r="E8" s="9" t="s">
        <v>12</v>
      </c>
      <c r="F8" s="9" t="s">
        <v>13</v>
      </c>
      <c r="G8" s="9" t="s">
        <v>14</v>
      </c>
      <c r="H8" s="9" t="s">
        <v>15</v>
      </c>
      <c r="I8" s="9" t="s">
        <v>16</v>
      </c>
    </row>
    <row r="9" spans="1:9" ht="124.8" customHeight="1" thickBot="1" x14ac:dyDescent="0.35">
      <c r="A9" s="10" t="s">
        <v>99</v>
      </c>
      <c r="B9" s="15" t="s">
        <v>248</v>
      </c>
      <c r="C9" s="25" t="s">
        <v>145</v>
      </c>
      <c r="D9" s="14" t="s">
        <v>114</v>
      </c>
      <c r="E9" s="26" t="s">
        <v>113</v>
      </c>
      <c r="F9" s="16" t="s">
        <v>131</v>
      </c>
      <c r="G9" s="16" t="s">
        <v>131</v>
      </c>
      <c r="H9" s="20" t="s">
        <v>17</v>
      </c>
      <c r="I9" s="10" t="s">
        <v>307</v>
      </c>
    </row>
    <row r="10" spans="1:9" ht="125.4" thickBot="1" x14ac:dyDescent="0.35">
      <c r="A10" s="10" t="s">
        <v>100</v>
      </c>
      <c r="B10" s="15" t="s">
        <v>242</v>
      </c>
      <c r="C10" s="25" t="s">
        <v>145</v>
      </c>
      <c r="D10" s="14" t="s">
        <v>114</v>
      </c>
      <c r="E10" s="26" t="s">
        <v>113</v>
      </c>
      <c r="F10" s="16" t="s">
        <v>131</v>
      </c>
      <c r="G10" s="16" t="s">
        <v>131</v>
      </c>
      <c r="H10" s="20" t="s">
        <v>17</v>
      </c>
      <c r="I10" s="10" t="s">
        <v>308</v>
      </c>
    </row>
    <row r="11" spans="1:9" ht="125.4" thickBot="1" x14ac:dyDescent="0.35">
      <c r="A11" s="10" t="s">
        <v>101</v>
      </c>
      <c r="B11" s="15" t="s">
        <v>318</v>
      </c>
      <c r="C11" s="25" t="s">
        <v>145</v>
      </c>
      <c r="D11" s="14" t="s">
        <v>114</v>
      </c>
      <c r="E11" s="26" t="s">
        <v>113</v>
      </c>
      <c r="F11" s="16" t="s">
        <v>131</v>
      </c>
      <c r="G11" s="16" t="s">
        <v>131</v>
      </c>
      <c r="H11" s="20" t="s">
        <v>17</v>
      </c>
      <c r="I11" s="10" t="s">
        <v>317</v>
      </c>
    </row>
    <row r="12" spans="1:9" ht="125.4" thickBot="1" x14ac:dyDescent="0.35">
      <c r="A12" s="10" t="s">
        <v>102</v>
      </c>
      <c r="B12" s="15" t="s">
        <v>243</v>
      </c>
      <c r="C12" s="25" t="s">
        <v>145</v>
      </c>
      <c r="D12" s="14" t="s">
        <v>114</v>
      </c>
      <c r="E12" s="26" t="s">
        <v>113</v>
      </c>
      <c r="F12" s="16" t="s">
        <v>131</v>
      </c>
      <c r="G12" s="16" t="s">
        <v>131</v>
      </c>
      <c r="H12" s="20" t="s">
        <v>17</v>
      </c>
      <c r="I12" s="10" t="s">
        <v>319</v>
      </c>
    </row>
    <row r="13" spans="1:9" ht="125.4" thickBot="1" x14ac:dyDescent="0.35">
      <c r="A13" s="10" t="s">
        <v>103</v>
      </c>
      <c r="B13" s="15" t="s">
        <v>244</v>
      </c>
      <c r="C13" s="25" t="s">
        <v>145</v>
      </c>
      <c r="D13" s="14" t="s">
        <v>114</v>
      </c>
      <c r="E13" s="26" t="s">
        <v>113</v>
      </c>
      <c r="F13" s="16" t="s">
        <v>131</v>
      </c>
      <c r="G13" s="16" t="s">
        <v>131</v>
      </c>
      <c r="H13" s="20" t="s">
        <v>17</v>
      </c>
      <c r="I13" s="10" t="s">
        <v>320</v>
      </c>
    </row>
    <row r="14" spans="1:9" ht="125.4" thickBot="1" x14ac:dyDescent="0.35">
      <c r="A14" s="10" t="s">
        <v>104</v>
      </c>
      <c r="B14" s="15" t="s">
        <v>245</v>
      </c>
      <c r="C14" s="25" t="s">
        <v>145</v>
      </c>
      <c r="D14" s="14" t="s">
        <v>114</v>
      </c>
      <c r="E14" s="26" t="s">
        <v>113</v>
      </c>
      <c r="F14" s="16" t="s">
        <v>132</v>
      </c>
      <c r="G14" s="16" t="s">
        <v>132</v>
      </c>
      <c r="H14" s="20" t="s">
        <v>17</v>
      </c>
      <c r="I14" s="10" t="s">
        <v>321</v>
      </c>
    </row>
    <row r="15" spans="1:9" ht="125.4" thickBot="1" x14ac:dyDescent="0.35">
      <c r="A15" s="10" t="s">
        <v>105</v>
      </c>
      <c r="B15" s="15" t="s">
        <v>310</v>
      </c>
      <c r="C15" s="25" t="s">
        <v>145</v>
      </c>
      <c r="D15" s="14" t="s">
        <v>114</v>
      </c>
      <c r="E15" s="26" t="s">
        <v>113</v>
      </c>
      <c r="F15" s="16" t="s">
        <v>133</v>
      </c>
      <c r="G15" s="16" t="s">
        <v>131</v>
      </c>
      <c r="H15" s="20" t="s">
        <v>18</v>
      </c>
      <c r="I15" s="10" t="s">
        <v>322</v>
      </c>
    </row>
    <row r="16" spans="1:9" ht="125.4" thickBot="1" x14ac:dyDescent="0.35">
      <c r="A16" s="10" t="s">
        <v>106</v>
      </c>
      <c r="B16" s="15" t="s">
        <v>247</v>
      </c>
      <c r="C16" s="25" t="s">
        <v>145</v>
      </c>
      <c r="D16" s="14" t="s">
        <v>114</v>
      </c>
      <c r="E16" s="26" t="s">
        <v>113</v>
      </c>
      <c r="F16" s="16" t="s">
        <v>133</v>
      </c>
      <c r="G16" s="16" t="s">
        <v>131</v>
      </c>
      <c r="H16" s="20" t="s">
        <v>18</v>
      </c>
      <c r="I16" s="10" t="s">
        <v>323</v>
      </c>
    </row>
    <row r="17" spans="1:9" ht="125.4" thickBot="1" x14ac:dyDescent="0.35">
      <c r="A17" s="10" t="s">
        <v>107</v>
      </c>
      <c r="B17" s="15" t="s">
        <v>313</v>
      </c>
      <c r="C17" s="25" t="s">
        <v>145</v>
      </c>
      <c r="D17" s="14" t="s">
        <v>114</v>
      </c>
      <c r="E17" s="26" t="s">
        <v>113</v>
      </c>
      <c r="F17" s="16" t="s">
        <v>134</v>
      </c>
      <c r="G17" s="16" t="s">
        <v>134</v>
      </c>
      <c r="H17" s="20" t="s">
        <v>17</v>
      </c>
      <c r="I17" s="10" t="s">
        <v>324</v>
      </c>
    </row>
    <row r="18" spans="1:9" ht="125.4" thickBot="1" x14ac:dyDescent="0.35">
      <c r="A18" s="10" t="s">
        <v>108</v>
      </c>
      <c r="B18" s="15" t="s">
        <v>311</v>
      </c>
      <c r="C18" s="25" t="s">
        <v>145</v>
      </c>
      <c r="D18" s="14" t="s">
        <v>114</v>
      </c>
      <c r="E18" s="26" t="s">
        <v>113</v>
      </c>
      <c r="F18" s="16" t="s">
        <v>135</v>
      </c>
      <c r="G18" s="16" t="s">
        <v>131</v>
      </c>
      <c r="H18" s="20" t="s">
        <v>18</v>
      </c>
      <c r="I18" s="10" t="s">
        <v>325</v>
      </c>
    </row>
    <row r="19" spans="1:9" ht="125.4" thickBot="1" x14ac:dyDescent="0.35">
      <c r="A19" s="10" t="s">
        <v>109</v>
      </c>
      <c r="B19" s="15" t="s">
        <v>312</v>
      </c>
      <c r="C19" s="25" t="s">
        <v>145</v>
      </c>
      <c r="D19" s="14" t="s">
        <v>114</v>
      </c>
      <c r="E19" s="26" t="s">
        <v>113</v>
      </c>
      <c r="F19" s="16" t="s">
        <v>135</v>
      </c>
      <c r="G19" s="16" t="s">
        <v>131</v>
      </c>
      <c r="H19" s="20" t="s">
        <v>18</v>
      </c>
      <c r="I19" s="10" t="s">
        <v>325</v>
      </c>
    </row>
    <row r="20" spans="1:9" ht="125.4" thickBot="1" x14ac:dyDescent="0.35">
      <c r="A20" s="10" t="s">
        <v>110</v>
      </c>
      <c r="B20" s="15" t="s">
        <v>246</v>
      </c>
      <c r="C20" s="25" t="s">
        <v>145</v>
      </c>
      <c r="D20" s="14" t="s">
        <v>114</v>
      </c>
      <c r="E20" s="26" t="s">
        <v>113</v>
      </c>
      <c r="F20" s="16" t="s">
        <v>136</v>
      </c>
      <c r="G20" s="16" t="s">
        <v>131</v>
      </c>
      <c r="H20" s="20" t="s">
        <v>18</v>
      </c>
      <c r="I20" s="10" t="s">
        <v>326</v>
      </c>
    </row>
    <row r="21" spans="1:9" ht="125.4" thickBot="1" x14ac:dyDescent="0.35">
      <c r="A21" s="10" t="s">
        <v>111</v>
      </c>
      <c r="B21" s="15" t="s">
        <v>314</v>
      </c>
      <c r="C21" s="25" t="s">
        <v>145</v>
      </c>
      <c r="D21" s="14" t="s">
        <v>114</v>
      </c>
      <c r="E21" s="26" t="s">
        <v>113</v>
      </c>
      <c r="F21" s="16" t="s">
        <v>137</v>
      </c>
      <c r="G21" s="16" t="s">
        <v>131</v>
      </c>
      <c r="H21" s="20" t="s">
        <v>18</v>
      </c>
      <c r="I21" s="10" t="s">
        <v>327</v>
      </c>
    </row>
    <row r="22" spans="1:9" ht="125.4" thickBot="1" x14ac:dyDescent="0.35">
      <c r="A22" s="10" t="s">
        <v>309</v>
      </c>
      <c r="B22" s="15" t="s">
        <v>315</v>
      </c>
      <c r="C22" s="25" t="s">
        <v>145</v>
      </c>
      <c r="D22" s="14" t="s">
        <v>114</v>
      </c>
      <c r="E22" s="26" t="s">
        <v>113</v>
      </c>
      <c r="F22" s="16" t="s">
        <v>132</v>
      </c>
      <c r="G22" s="16" t="s">
        <v>132</v>
      </c>
      <c r="H22" s="20" t="s">
        <v>17</v>
      </c>
      <c r="I22" s="10" t="s">
        <v>316</v>
      </c>
    </row>
    <row r="23" spans="1:9" x14ac:dyDescent="0.3">
      <c r="A23" s="12"/>
      <c r="B23" s="12"/>
      <c r="C23" s="12"/>
      <c r="D23" s="12"/>
      <c r="E23" s="12"/>
      <c r="F23" s="12"/>
      <c r="G23" s="21" t="s">
        <v>17</v>
      </c>
      <c r="H23" s="22">
        <f>COUNTIF(H9:H22,"Pass")</f>
        <v>8</v>
      </c>
      <c r="I23" s="12"/>
    </row>
    <row r="24" spans="1:9" x14ac:dyDescent="0.3">
      <c r="A24" s="12"/>
      <c r="B24" s="12"/>
      <c r="C24" s="12"/>
      <c r="D24" s="12"/>
      <c r="E24" s="12"/>
      <c r="F24" s="12"/>
      <c r="G24" s="21" t="s">
        <v>18</v>
      </c>
      <c r="H24" s="22">
        <f>COUNTIF(H9:H22,"Fail")</f>
        <v>6</v>
      </c>
      <c r="I24" s="12"/>
    </row>
    <row r="25" spans="1:9" x14ac:dyDescent="0.3">
      <c r="A25" s="12"/>
      <c r="B25" s="12"/>
      <c r="C25" s="12"/>
      <c r="D25" s="12"/>
      <c r="E25" s="12"/>
      <c r="F25" s="12"/>
      <c r="G25" s="23" t="s">
        <v>19</v>
      </c>
      <c r="H25" s="24">
        <f>COUNTIF(H9:H22,"Pending")</f>
        <v>0</v>
      </c>
      <c r="I25" s="12"/>
    </row>
    <row r="26" spans="1:9" x14ac:dyDescent="0.3">
      <c r="A26" s="12"/>
      <c r="B26" s="12"/>
      <c r="C26" s="12"/>
      <c r="D26" s="12"/>
      <c r="E26" s="12"/>
      <c r="F26" s="12"/>
      <c r="G26" s="22" t="s">
        <v>20</v>
      </c>
      <c r="H26" s="22">
        <f>SUM(H23:H25)</f>
        <v>14</v>
      </c>
      <c r="I26" s="12"/>
    </row>
    <row r="27" spans="1:9" ht="14.25" customHeight="1" x14ac:dyDescent="0.3">
      <c r="A27" s="12"/>
      <c r="B27" s="12"/>
      <c r="C27" s="12"/>
      <c r="D27" s="12"/>
      <c r="E27" s="12"/>
      <c r="F27" s="12"/>
      <c r="G27" s="12"/>
      <c r="H27" s="12"/>
      <c r="I27" s="12"/>
    </row>
    <row r="28" spans="1:9" ht="14.25" customHeight="1" x14ac:dyDescent="0.3">
      <c r="A28" s="12"/>
      <c r="B28" s="12"/>
      <c r="C28" s="12"/>
      <c r="D28" s="12"/>
      <c r="E28" s="12"/>
      <c r="F28" s="12"/>
      <c r="G28" s="12"/>
      <c r="H28" s="12"/>
      <c r="I28" s="12"/>
    </row>
    <row r="29" spans="1:9" ht="14.25" customHeight="1" x14ac:dyDescent="0.3">
      <c r="A29" s="12"/>
      <c r="B29" s="12"/>
      <c r="C29" s="12"/>
      <c r="D29" s="12"/>
      <c r="E29" s="12"/>
      <c r="F29" s="12"/>
      <c r="G29" s="12"/>
      <c r="H29" s="12"/>
      <c r="I29" s="12"/>
    </row>
    <row r="30" spans="1:9" ht="14.25" customHeight="1" x14ac:dyDescent="0.3">
      <c r="A30" s="12"/>
      <c r="B30" s="12"/>
      <c r="C30" s="12"/>
      <c r="D30" s="12"/>
      <c r="E30" s="12"/>
      <c r="F30" s="12"/>
      <c r="G30" s="12"/>
      <c r="H30" s="12"/>
      <c r="I30" s="12"/>
    </row>
    <row r="31" spans="1:9" ht="14.25" customHeight="1" x14ac:dyDescent="0.3">
      <c r="A31" s="12"/>
      <c r="B31" s="12"/>
      <c r="C31" s="12"/>
      <c r="D31" s="12"/>
      <c r="E31" s="12"/>
      <c r="F31" s="12"/>
      <c r="G31" s="12"/>
      <c r="H31" s="12"/>
      <c r="I31" s="12"/>
    </row>
    <row r="32" spans="1:9" ht="14.25" customHeight="1" x14ac:dyDescent="0.3">
      <c r="A32" s="12"/>
      <c r="B32" s="12"/>
      <c r="C32" s="12"/>
      <c r="D32" s="12"/>
      <c r="E32" s="12"/>
      <c r="F32" s="12"/>
      <c r="G32" s="12"/>
      <c r="H32" s="12"/>
      <c r="I32" s="12"/>
    </row>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sheetData>
  <mergeCells count="2">
    <mergeCell ref="D5:F5"/>
    <mergeCell ref="D2:F2"/>
  </mergeCells>
  <conditionalFormatting sqref="H9:H22">
    <cfRule type="cellIs" dxfId="5" priority="1" operator="equal">
      <formula>"Fail"</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50F0-7AA5-4B07-9F61-0857F112BA69}">
  <dimension ref="A1:I977"/>
  <sheetViews>
    <sheetView topLeftCell="A11" zoomScale="70" zoomScaleNormal="70" workbookViewId="0">
      <selection activeCell="A12" sqref="A12"/>
    </sheetView>
  </sheetViews>
  <sheetFormatPr defaultColWidth="14.44140625" defaultRowHeight="15.6" x14ac:dyDescent="0.3"/>
  <cols>
    <col min="1" max="1" width="17.33203125" style="4" customWidth="1"/>
    <col min="2" max="2" width="29.44140625" style="4" customWidth="1"/>
    <col min="3" max="3" width="20.21875" style="4" bestFit="1" customWidth="1"/>
    <col min="4" max="4" width="48.88671875" style="4" customWidth="1"/>
    <col min="5" max="5" width="35.21875" style="4" bestFit="1" customWidth="1"/>
    <col min="6" max="6" width="29.44140625" style="4" customWidth="1"/>
    <col min="7" max="7" width="27.5546875" style="4" bestFit="1" customWidth="1"/>
    <col min="8" max="8" width="8.44140625" style="4" customWidth="1"/>
    <col min="9" max="9" width="19.88671875" style="4" customWidth="1"/>
    <col min="10" max="26" width="8.6640625" style="4" customWidth="1"/>
    <col min="27" max="16384" width="14.44140625" style="4"/>
  </cols>
  <sheetData>
    <row r="1" spans="1:9" ht="16.2" thickBot="1" x14ac:dyDescent="0.35">
      <c r="A1" s="1" t="s">
        <v>0</v>
      </c>
      <c r="B1" s="2" t="s">
        <v>22</v>
      </c>
      <c r="F1" s="3"/>
      <c r="G1" s="3"/>
      <c r="H1" s="3"/>
      <c r="I1" s="3"/>
    </row>
    <row r="2" spans="1:9" ht="16.2" thickBot="1" x14ac:dyDescent="0.35">
      <c r="A2" s="1" t="s">
        <v>2</v>
      </c>
      <c r="B2" s="2" t="s">
        <v>138</v>
      </c>
      <c r="C2" s="3"/>
      <c r="D2" s="62" t="s">
        <v>1</v>
      </c>
      <c r="E2" s="63"/>
      <c r="F2" s="64"/>
      <c r="G2" s="3"/>
      <c r="H2" s="3"/>
      <c r="I2" s="3"/>
    </row>
    <row r="3" spans="1:9" ht="16.2" thickBot="1" x14ac:dyDescent="0.35">
      <c r="A3" s="1" t="s">
        <v>3</v>
      </c>
      <c r="B3" s="2" t="s">
        <v>21</v>
      </c>
      <c r="C3" s="3"/>
      <c r="D3" s="3"/>
      <c r="E3" s="3"/>
      <c r="F3" s="3"/>
      <c r="G3" s="3"/>
      <c r="H3" s="3"/>
      <c r="I3" s="3"/>
    </row>
    <row r="4" spans="1:9" ht="16.2" thickBot="1" x14ac:dyDescent="0.35">
      <c r="A4" s="1" t="s">
        <v>4</v>
      </c>
      <c r="B4" s="5">
        <v>45976</v>
      </c>
      <c r="C4" s="6"/>
      <c r="D4" s="3"/>
      <c r="E4" s="3"/>
      <c r="F4" s="3"/>
      <c r="G4" s="3"/>
      <c r="H4" s="3"/>
      <c r="I4" s="3"/>
    </row>
    <row r="5" spans="1:9" ht="16.2" thickBot="1" x14ac:dyDescent="0.35">
      <c r="A5" s="1" t="s">
        <v>5</v>
      </c>
      <c r="B5" s="2" t="s">
        <v>6</v>
      </c>
      <c r="C5" s="3"/>
      <c r="D5" s="3"/>
      <c r="E5" s="3"/>
      <c r="F5" s="3"/>
      <c r="G5" s="3"/>
      <c r="H5" s="3"/>
      <c r="I5" s="3"/>
    </row>
    <row r="6" spans="1:9" ht="16.2" thickBot="1" x14ac:dyDescent="0.35">
      <c r="A6" s="1" t="s">
        <v>7</v>
      </c>
      <c r="B6" s="32">
        <v>45983</v>
      </c>
      <c r="C6" s="7"/>
      <c r="D6" s="3"/>
      <c r="E6" s="3"/>
      <c r="F6" s="3"/>
      <c r="G6" s="3"/>
      <c r="H6" s="3"/>
      <c r="I6" s="3"/>
    </row>
    <row r="7" spans="1:9" ht="14.25" customHeight="1" thickBot="1" x14ac:dyDescent="0.35">
      <c r="A7" s="8"/>
      <c r="B7" s="8"/>
      <c r="C7" s="8"/>
      <c r="D7" s="8"/>
      <c r="E7" s="8"/>
      <c r="F7" s="8"/>
      <c r="G7" s="8"/>
      <c r="H7" s="8"/>
      <c r="I7" s="8"/>
    </row>
    <row r="8" spans="1:9" ht="16.2" thickBot="1" x14ac:dyDescent="0.35">
      <c r="A8" s="9" t="s">
        <v>8</v>
      </c>
      <c r="B8" s="9" t="s">
        <v>9</v>
      </c>
      <c r="C8" s="9" t="s">
        <v>10</v>
      </c>
      <c r="D8" s="27" t="s">
        <v>11</v>
      </c>
      <c r="E8" s="9" t="s">
        <v>12</v>
      </c>
      <c r="F8" s="9" t="s">
        <v>13</v>
      </c>
      <c r="G8" s="9" t="s">
        <v>14</v>
      </c>
      <c r="H8" s="9" t="s">
        <v>15</v>
      </c>
      <c r="I8" s="9" t="s">
        <v>16</v>
      </c>
    </row>
    <row r="9" spans="1:9" ht="146.4" customHeight="1" thickBot="1" x14ac:dyDescent="0.35">
      <c r="A9" s="10" t="s">
        <v>139</v>
      </c>
      <c r="B9" s="15" t="s">
        <v>148</v>
      </c>
      <c r="C9" s="25" t="s">
        <v>145</v>
      </c>
      <c r="D9" s="14" t="s">
        <v>146</v>
      </c>
      <c r="E9" s="26" t="s">
        <v>147</v>
      </c>
      <c r="F9" s="16" t="s">
        <v>152</v>
      </c>
      <c r="G9" s="16" t="s">
        <v>153</v>
      </c>
      <c r="H9" s="20" t="s">
        <v>18</v>
      </c>
      <c r="I9" s="10" t="s">
        <v>265</v>
      </c>
    </row>
    <row r="10" spans="1:9" ht="146.4" customHeight="1" thickBot="1" x14ac:dyDescent="0.35">
      <c r="A10" s="10" t="s">
        <v>140</v>
      </c>
      <c r="B10" s="15" t="s">
        <v>150</v>
      </c>
      <c r="C10" s="25" t="s">
        <v>145</v>
      </c>
      <c r="D10" s="14" t="s">
        <v>146</v>
      </c>
      <c r="E10" s="26" t="s">
        <v>147</v>
      </c>
      <c r="F10" s="16" t="s">
        <v>152</v>
      </c>
      <c r="G10" s="16" t="s">
        <v>152</v>
      </c>
      <c r="H10" s="20" t="s">
        <v>17</v>
      </c>
      <c r="I10" s="10" t="s">
        <v>265</v>
      </c>
    </row>
    <row r="11" spans="1:9" ht="146.4" customHeight="1" thickBot="1" x14ac:dyDescent="0.35">
      <c r="A11" s="10" t="s">
        <v>141</v>
      </c>
      <c r="B11" s="15" t="s">
        <v>149</v>
      </c>
      <c r="C11" s="25" t="s">
        <v>145</v>
      </c>
      <c r="D11" s="14" t="s">
        <v>146</v>
      </c>
      <c r="E11" s="26" t="s">
        <v>147</v>
      </c>
      <c r="F11" s="16" t="s">
        <v>152</v>
      </c>
      <c r="G11" s="16" t="s">
        <v>153</v>
      </c>
      <c r="H11" s="20" t="s">
        <v>18</v>
      </c>
      <c r="I11" s="10" t="s">
        <v>265</v>
      </c>
    </row>
    <row r="12" spans="1:9" ht="146.4" customHeight="1" thickBot="1" x14ac:dyDescent="0.35">
      <c r="A12" s="10" t="s">
        <v>142</v>
      </c>
      <c r="B12" s="15" t="s">
        <v>151</v>
      </c>
      <c r="C12" s="25" t="s">
        <v>145</v>
      </c>
      <c r="D12" s="14" t="s">
        <v>146</v>
      </c>
      <c r="E12" s="26" t="s">
        <v>147</v>
      </c>
      <c r="F12" s="16" t="s">
        <v>152</v>
      </c>
      <c r="G12" s="16" t="s">
        <v>152</v>
      </c>
      <c r="H12" s="20" t="s">
        <v>17</v>
      </c>
      <c r="I12" s="10" t="s">
        <v>265</v>
      </c>
    </row>
    <row r="13" spans="1:9" ht="14.25" customHeight="1" x14ac:dyDescent="0.3">
      <c r="A13" s="12"/>
      <c r="B13" s="12"/>
      <c r="C13" s="12"/>
      <c r="D13" s="12"/>
      <c r="E13" s="12"/>
      <c r="F13" s="12"/>
      <c r="G13" s="21" t="s">
        <v>17</v>
      </c>
      <c r="H13" s="22">
        <f>COUNTIF(H9:H12,"Pass")</f>
        <v>2</v>
      </c>
      <c r="I13" s="12"/>
    </row>
    <row r="14" spans="1:9" ht="14.25" customHeight="1" x14ac:dyDescent="0.3">
      <c r="A14" s="12"/>
      <c r="B14" s="12"/>
      <c r="C14" s="12"/>
      <c r="D14" s="12"/>
      <c r="E14" s="12"/>
      <c r="F14" s="12"/>
      <c r="G14" s="21" t="s">
        <v>18</v>
      </c>
      <c r="H14" s="22">
        <f>COUNTIF(H9:H12,"Fail")</f>
        <v>2</v>
      </c>
      <c r="I14" s="12"/>
    </row>
    <row r="15" spans="1:9" ht="14.25" customHeight="1" x14ac:dyDescent="0.3">
      <c r="A15" s="12"/>
      <c r="B15" s="12"/>
      <c r="C15" s="12"/>
      <c r="D15" s="12"/>
      <c r="E15" s="12"/>
      <c r="F15" s="12"/>
      <c r="G15" s="23" t="s">
        <v>19</v>
      </c>
      <c r="H15" s="24">
        <f>COUNTIF(H10:H12,"Pending")</f>
        <v>0</v>
      </c>
      <c r="I15" s="12"/>
    </row>
    <row r="16" spans="1:9" ht="14.25" customHeight="1" x14ac:dyDescent="0.3">
      <c r="G16" s="22" t="s">
        <v>20</v>
      </c>
      <c r="H16" s="22">
        <f>SUM(H13:H15)</f>
        <v>4</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sheetData>
  <mergeCells count="1">
    <mergeCell ref="D2:F2"/>
  </mergeCells>
  <conditionalFormatting sqref="H9:H12">
    <cfRule type="cellIs" dxfId="4" priority="1" operator="equal">
      <formula>"Fail"</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6005-A9C1-4F6C-BCB7-88DD1BF2CBB6}">
  <dimension ref="A1:I993"/>
  <sheetViews>
    <sheetView topLeftCell="A13" zoomScale="85" zoomScaleNormal="85" workbookViewId="0">
      <selection activeCell="F10" sqref="F10"/>
    </sheetView>
  </sheetViews>
  <sheetFormatPr defaultColWidth="14.44140625" defaultRowHeight="15.6" x14ac:dyDescent="0.3"/>
  <cols>
    <col min="1" max="1" width="17.33203125" style="4" customWidth="1"/>
    <col min="2" max="2" width="29.44140625" style="4" customWidth="1"/>
    <col min="3" max="3" width="24.33203125" style="4" customWidth="1"/>
    <col min="4" max="4" width="26.6640625" style="4" customWidth="1"/>
    <col min="5" max="5" width="35.21875" style="4" bestFit="1" customWidth="1"/>
    <col min="6" max="6" width="32.77734375" style="4" customWidth="1"/>
    <col min="7" max="7" width="27.5546875" style="4" bestFit="1" customWidth="1"/>
    <col min="8" max="8" width="8.44140625" style="4" customWidth="1"/>
    <col min="9" max="9" width="19.88671875" style="4" customWidth="1"/>
    <col min="10" max="26" width="8.6640625" style="4" customWidth="1"/>
    <col min="27" max="16384" width="14.44140625" style="4"/>
  </cols>
  <sheetData>
    <row r="1" spans="1:9" ht="16.2" thickBot="1" x14ac:dyDescent="0.35">
      <c r="A1" s="1" t="s">
        <v>0</v>
      </c>
      <c r="B1" s="2" t="s">
        <v>22</v>
      </c>
      <c r="D1" s="30"/>
      <c r="E1" s="31"/>
      <c r="F1" s="3"/>
      <c r="G1" s="3"/>
      <c r="H1" s="3"/>
      <c r="I1" s="3"/>
    </row>
    <row r="2" spans="1:9" ht="16.2" thickBot="1" x14ac:dyDescent="0.35">
      <c r="A2" s="1" t="s">
        <v>2</v>
      </c>
      <c r="B2" s="2" t="s">
        <v>154</v>
      </c>
      <c r="C2" s="3"/>
      <c r="D2" s="62" t="s">
        <v>1</v>
      </c>
      <c r="E2" s="63"/>
      <c r="F2" s="64"/>
      <c r="G2" s="3"/>
      <c r="H2" s="3"/>
      <c r="I2" s="3"/>
    </row>
    <row r="3" spans="1:9" ht="16.2" thickBot="1" x14ac:dyDescent="0.35">
      <c r="A3" s="1" t="s">
        <v>3</v>
      </c>
      <c r="B3" s="2" t="s">
        <v>21</v>
      </c>
      <c r="C3" s="3"/>
      <c r="D3" s="3"/>
      <c r="E3" s="3"/>
      <c r="F3" s="3"/>
      <c r="G3" s="3"/>
      <c r="H3" s="3"/>
      <c r="I3" s="3"/>
    </row>
    <row r="4" spans="1:9" ht="16.2" thickBot="1" x14ac:dyDescent="0.35">
      <c r="A4" s="1" t="s">
        <v>4</v>
      </c>
      <c r="B4" s="5">
        <v>45976</v>
      </c>
      <c r="C4" s="6"/>
      <c r="D4" s="3"/>
      <c r="E4" s="3"/>
      <c r="F4" s="3"/>
      <c r="G4" s="3"/>
      <c r="H4" s="3"/>
      <c r="I4" s="3"/>
    </row>
    <row r="5" spans="1:9" ht="16.2" thickBot="1" x14ac:dyDescent="0.35">
      <c r="A5" s="1" t="s">
        <v>5</v>
      </c>
      <c r="B5" s="2" t="s">
        <v>6</v>
      </c>
      <c r="C5" s="3"/>
      <c r="D5" s="3"/>
      <c r="E5" s="3"/>
      <c r="F5" s="3"/>
      <c r="G5" s="3"/>
      <c r="H5" s="3"/>
      <c r="I5" s="3"/>
    </row>
    <row r="6" spans="1:9" ht="16.2" thickBot="1" x14ac:dyDescent="0.35">
      <c r="A6" s="1" t="s">
        <v>7</v>
      </c>
      <c r="B6" s="32">
        <v>45983</v>
      </c>
      <c r="C6" s="7"/>
      <c r="D6" s="3"/>
      <c r="E6" s="3"/>
      <c r="F6" s="3"/>
      <c r="G6" s="3"/>
      <c r="H6" s="3"/>
      <c r="I6" s="3"/>
    </row>
    <row r="7" spans="1:9" ht="14.25" customHeight="1" thickBot="1" x14ac:dyDescent="0.35">
      <c r="A7" s="8"/>
      <c r="B7" s="8"/>
      <c r="C7" s="8"/>
      <c r="D7" s="8"/>
      <c r="E7" s="8"/>
      <c r="F7" s="8"/>
      <c r="G7" s="8"/>
      <c r="H7" s="8"/>
      <c r="I7" s="8"/>
    </row>
    <row r="8" spans="1:9" ht="16.2" thickBot="1" x14ac:dyDescent="0.35">
      <c r="A8" s="9" t="s">
        <v>8</v>
      </c>
      <c r="B8" s="9" t="s">
        <v>9</v>
      </c>
      <c r="C8" s="9" t="s">
        <v>10</v>
      </c>
      <c r="D8" s="27" t="s">
        <v>11</v>
      </c>
      <c r="E8" s="9" t="s">
        <v>12</v>
      </c>
      <c r="F8" s="9" t="s">
        <v>13</v>
      </c>
      <c r="G8" s="9" t="s">
        <v>14</v>
      </c>
      <c r="H8" s="9" t="s">
        <v>15</v>
      </c>
      <c r="I8" s="9" t="s">
        <v>16</v>
      </c>
    </row>
    <row r="9" spans="1:9" ht="114.6" customHeight="1" thickBot="1" x14ac:dyDescent="0.35">
      <c r="A9" s="10" t="s">
        <v>156</v>
      </c>
      <c r="B9" s="15" t="s">
        <v>155</v>
      </c>
      <c r="C9" s="25" t="s">
        <v>164</v>
      </c>
      <c r="D9" s="14" t="s">
        <v>249</v>
      </c>
      <c r="E9" s="26" t="s">
        <v>253</v>
      </c>
      <c r="F9" s="16" t="s">
        <v>165</v>
      </c>
      <c r="G9" s="16" t="s">
        <v>165</v>
      </c>
      <c r="H9" s="20" t="s">
        <v>17</v>
      </c>
      <c r="I9" s="10" t="s">
        <v>265</v>
      </c>
    </row>
    <row r="10" spans="1:9" ht="114.6" customHeight="1" thickBot="1" x14ac:dyDescent="0.35">
      <c r="A10" s="10" t="s">
        <v>157</v>
      </c>
      <c r="B10" s="15" t="s">
        <v>160</v>
      </c>
      <c r="C10" s="25" t="s">
        <v>164</v>
      </c>
      <c r="D10" s="14" t="s">
        <v>250</v>
      </c>
      <c r="E10" s="26" t="s">
        <v>254</v>
      </c>
      <c r="F10" s="16" t="s">
        <v>165</v>
      </c>
      <c r="G10" s="16" t="s">
        <v>165</v>
      </c>
      <c r="H10" s="20" t="s">
        <v>17</v>
      </c>
      <c r="I10" s="10" t="s">
        <v>265</v>
      </c>
    </row>
    <row r="11" spans="1:9" ht="114.6" customHeight="1" thickBot="1" x14ac:dyDescent="0.35">
      <c r="A11" s="10" t="s">
        <v>158</v>
      </c>
      <c r="B11" s="15" t="s">
        <v>161</v>
      </c>
      <c r="C11" s="25" t="s">
        <v>164</v>
      </c>
      <c r="D11" s="14" t="s">
        <v>251</v>
      </c>
      <c r="E11" s="26" t="s">
        <v>255</v>
      </c>
      <c r="F11" s="16" t="s">
        <v>165</v>
      </c>
      <c r="G11" s="16" t="s">
        <v>165</v>
      </c>
      <c r="H11" s="20" t="s">
        <v>17</v>
      </c>
      <c r="I11" s="10" t="s">
        <v>265</v>
      </c>
    </row>
    <row r="12" spans="1:9" ht="114.6" customHeight="1" thickBot="1" x14ac:dyDescent="0.35">
      <c r="A12" s="10" t="s">
        <v>159</v>
      </c>
      <c r="B12" s="15" t="s">
        <v>162</v>
      </c>
      <c r="C12" s="25" t="s">
        <v>164</v>
      </c>
      <c r="D12" s="14" t="s">
        <v>252</v>
      </c>
      <c r="E12" s="26" t="s">
        <v>163</v>
      </c>
      <c r="F12" s="16" t="s">
        <v>176</v>
      </c>
      <c r="G12" s="16" t="s">
        <v>178</v>
      </c>
      <c r="H12" s="20" t="s">
        <v>18</v>
      </c>
      <c r="I12" s="10" t="s">
        <v>265</v>
      </c>
    </row>
    <row r="13" spans="1:9" ht="14.25" customHeight="1" x14ac:dyDescent="0.3">
      <c r="A13" s="12"/>
      <c r="B13" s="12"/>
      <c r="C13" s="12"/>
      <c r="D13" s="12"/>
      <c r="E13" s="12"/>
      <c r="F13" s="12"/>
      <c r="G13" s="21" t="s">
        <v>17</v>
      </c>
      <c r="H13" s="22">
        <f>COUNTIF(H9:H12,"Pass")</f>
        <v>3</v>
      </c>
      <c r="I13" s="12"/>
    </row>
    <row r="14" spans="1:9" ht="14.25" customHeight="1" x14ac:dyDescent="0.3">
      <c r="A14" s="12"/>
      <c r="B14" s="12"/>
      <c r="C14" s="12"/>
      <c r="D14" s="12"/>
      <c r="E14" s="12"/>
      <c r="F14" s="12"/>
      <c r="G14" s="21" t="s">
        <v>18</v>
      </c>
      <c r="H14" s="22">
        <f>COUNTIF(H9:H12,"Fail")</f>
        <v>1</v>
      </c>
      <c r="I14" s="12"/>
    </row>
    <row r="15" spans="1:9" ht="14.25" customHeight="1" x14ac:dyDescent="0.3">
      <c r="A15" s="12"/>
      <c r="B15" s="12"/>
      <c r="C15" s="12"/>
      <c r="D15" s="12"/>
      <c r="E15" s="12"/>
      <c r="F15" s="12"/>
      <c r="G15" s="23" t="s">
        <v>19</v>
      </c>
      <c r="H15" s="24">
        <f>COUNTIF(H10:H12,"Pending")</f>
        <v>0</v>
      </c>
      <c r="I15" s="12"/>
    </row>
    <row r="16" spans="1:9" ht="14.25" customHeight="1" x14ac:dyDescent="0.3">
      <c r="G16" s="22" t="s">
        <v>20</v>
      </c>
      <c r="H16" s="22">
        <f>SUM(H13:H15)</f>
        <v>4</v>
      </c>
    </row>
    <row r="17" s="4" customFormat="1" ht="14.25" customHeight="1" x14ac:dyDescent="0.3"/>
    <row r="18" s="4" customFormat="1" ht="14.25" customHeight="1" x14ac:dyDescent="0.3"/>
    <row r="19" s="4" customFormat="1" ht="14.25" customHeight="1" x14ac:dyDescent="0.3"/>
    <row r="20" s="4" customFormat="1" ht="14.25" customHeight="1" x14ac:dyDescent="0.3"/>
    <row r="21" s="4" customFormat="1" ht="14.25" customHeight="1" x14ac:dyDescent="0.3"/>
    <row r="22" s="4" customFormat="1" ht="14.25" customHeight="1" x14ac:dyDescent="0.3"/>
    <row r="23" s="4" customFormat="1" ht="14.25" customHeight="1" x14ac:dyDescent="0.3"/>
    <row r="24" s="4" customFormat="1" ht="14.25" customHeight="1" x14ac:dyDescent="0.3"/>
    <row r="25" s="4" customFormat="1" ht="14.25" customHeight="1" x14ac:dyDescent="0.3"/>
    <row r="26" s="4" customFormat="1" ht="14.25" customHeight="1" x14ac:dyDescent="0.3"/>
    <row r="27" s="4" customFormat="1" ht="14.25" customHeight="1" x14ac:dyDescent="0.3"/>
    <row r="28" s="4" customFormat="1" ht="14.25" customHeight="1" x14ac:dyDescent="0.3"/>
    <row r="29" s="4" customFormat="1" ht="14.25" customHeight="1" x14ac:dyDescent="0.3"/>
    <row r="30" s="4" customFormat="1" ht="14.25" customHeight="1" x14ac:dyDescent="0.3"/>
    <row r="31" s="4" customFormat="1" ht="14.25" customHeight="1" x14ac:dyDescent="0.3"/>
    <row r="32" s="4" customFormat="1" ht="14.25" customHeight="1" x14ac:dyDescent="0.3"/>
    <row r="33" s="4" customFormat="1" ht="14.25" customHeight="1" x14ac:dyDescent="0.3"/>
    <row r="34" s="4" customFormat="1" ht="14.25" customHeight="1" x14ac:dyDescent="0.3"/>
    <row r="35" s="4" customFormat="1" ht="14.25" customHeight="1" x14ac:dyDescent="0.3"/>
    <row r="36" s="4" customFormat="1" ht="14.25" customHeight="1" x14ac:dyDescent="0.3"/>
    <row r="37" s="4" customFormat="1" ht="14.25" customHeight="1" x14ac:dyDescent="0.3"/>
    <row r="38" s="4" customFormat="1" ht="14.25" customHeight="1" x14ac:dyDescent="0.3"/>
    <row r="39" s="4" customFormat="1" ht="14.25" customHeight="1" x14ac:dyDescent="0.3"/>
    <row r="40" s="4" customFormat="1" ht="14.25" customHeight="1" x14ac:dyDescent="0.3"/>
    <row r="41" s="4" customFormat="1" ht="14.25" customHeight="1" x14ac:dyDescent="0.3"/>
    <row r="42" s="4" customFormat="1" ht="14.25" customHeight="1" x14ac:dyDescent="0.3"/>
    <row r="43" s="4" customFormat="1" ht="14.25" customHeight="1" x14ac:dyDescent="0.3"/>
    <row r="44" s="4" customFormat="1" ht="14.25" customHeight="1" x14ac:dyDescent="0.3"/>
    <row r="45" s="4" customFormat="1" ht="14.25" customHeight="1" x14ac:dyDescent="0.3"/>
    <row r="46" s="4" customFormat="1" ht="14.25" customHeight="1" x14ac:dyDescent="0.3"/>
    <row r="47" s="4" customFormat="1" ht="14.25" customHeight="1" x14ac:dyDescent="0.3"/>
    <row r="48" s="4" customFormat="1" ht="14.25" customHeight="1" x14ac:dyDescent="0.3"/>
    <row r="49" s="4" customFormat="1" ht="14.25" customHeight="1" x14ac:dyDescent="0.3"/>
    <row r="50" s="4" customFormat="1" ht="14.25" customHeight="1" x14ac:dyDescent="0.3"/>
    <row r="51" s="4" customFormat="1" ht="14.25" customHeight="1" x14ac:dyDescent="0.3"/>
    <row r="52" s="4" customFormat="1" ht="14.25" customHeight="1" x14ac:dyDescent="0.3"/>
    <row r="53" s="4" customFormat="1" ht="14.25" customHeight="1" x14ac:dyDescent="0.3"/>
    <row r="54" s="4" customFormat="1" ht="14.25" customHeight="1" x14ac:dyDescent="0.3"/>
    <row r="55" s="4" customFormat="1" ht="14.25" customHeight="1" x14ac:dyDescent="0.3"/>
    <row r="56" s="4" customFormat="1" ht="14.25" customHeight="1" x14ac:dyDescent="0.3"/>
    <row r="57" s="4" customFormat="1" ht="14.25" customHeight="1" x14ac:dyDescent="0.3"/>
    <row r="58" s="4" customFormat="1" ht="14.25" customHeight="1" x14ac:dyDescent="0.3"/>
    <row r="59" s="4" customFormat="1" ht="14.25" customHeight="1" x14ac:dyDescent="0.3"/>
    <row r="60" s="4" customFormat="1" ht="14.25" customHeight="1" x14ac:dyDescent="0.3"/>
    <row r="61" s="4" customFormat="1" ht="14.25" customHeight="1" x14ac:dyDescent="0.3"/>
    <row r="62" s="4" customFormat="1" ht="14.25" customHeight="1" x14ac:dyDescent="0.3"/>
    <row r="63" s="4" customFormat="1" ht="14.25" customHeight="1" x14ac:dyDescent="0.3"/>
    <row r="64" s="4" customFormat="1" ht="14.25" customHeight="1" x14ac:dyDescent="0.3"/>
    <row r="65" s="4" customFormat="1" ht="14.25" customHeight="1" x14ac:dyDescent="0.3"/>
    <row r="66" s="4" customFormat="1" ht="14.25" customHeight="1" x14ac:dyDescent="0.3"/>
    <row r="67" s="4" customFormat="1" ht="14.25" customHeight="1" x14ac:dyDescent="0.3"/>
    <row r="68" s="4" customFormat="1" ht="14.25" customHeight="1" x14ac:dyDescent="0.3"/>
    <row r="69" s="4" customFormat="1" ht="14.25" customHeight="1" x14ac:dyDescent="0.3"/>
    <row r="70" s="4" customFormat="1" ht="14.25" customHeight="1" x14ac:dyDescent="0.3"/>
    <row r="71" s="4" customFormat="1" ht="14.25" customHeight="1" x14ac:dyDescent="0.3"/>
    <row r="72" s="4" customFormat="1" ht="14.25" customHeight="1" x14ac:dyDescent="0.3"/>
    <row r="73" s="4" customFormat="1" ht="14.25" customHeight="1" x14ac:dyDescent="0.3"/>
    <row r="74" s="4" customFormat="1" ht="14.25" customHeight="1" x14ac:dyDescent="0.3"/>
    <row r="75" s="4" customFormat="1" ht="14.25" customHeight="1" x14ac:dyDescent="0.3"/>
    <row r="76" s="4" customFormat="1" ht="14.25" customHeight="1" x14ac:dyDescent="0.3"/>
    <row r="77" s="4" customFormat="1" ht="14.25" customHeight="1" x14ac:dyDescent="0.3"/>
    <row r="78" s="4" customFormat="1" ht="14.25" customHeight="1" x14ac:dyDescent="0.3"/>
    <row r="79" s="4" customFormat="1" ht="14.25" customHeight="1" x14ac:dyDescent="0.3"/>
    <row r="80" s="4" customFormat="1" ht="14.25" customHeight="1" x14ac:dyDescent="0.3"/>
    <row r="81" s="4" customFormat="1" ht="14.25" customHeight="1" x14ac:dyDescent="0.3"/>
    <row r="82" s="4" customFormat="1" ht="14.25" customHeight="1" x14ac:dyDescent="0.3"/>
    <row r="83" s="4" customFormat="1" ht="14.25" customHeight="1" x14ac:dyDescent="0.3"/>
    <row r="84" s="4" customFormat="1" ht="14.25" customHeight="1" x14ac:dyDescent="0.3"/>
    <row r="85" s="4" customFormat="1" ht="14.25" customHeight="1" x14ac:dyDescent="0.3"/>
    <row r="86" s="4" customFormat="1" ht="14.25" customHeight="1" x14ac:dyDescent="0.3"/>
    <row r="87" s="4" customFormat="1" ht="14.25" customHeight="1" x14ac:dyDescent="0.3"/>
    <row r="88" s="4" customFormat="1" ht="14.25" customHeight="1" x14ac:dyDescent="0.3"/>
    <row r="89" s="4" customFormat="1" ht="14.25" customHeight="1" x14ac:dyDescent="0.3"/>
    <row r="90" s="4" customFormat="1" ht="14.25" customHeight="1" x14ac:dyDescent="0.3"/>
    <row r="91" s="4" customFormat="1" ht="14.25" customHeight="1" x14ac:dyDescent="0.3"/>
    <row r="92" s="4" customFormat="1" ht="14.25" customHeight="1" x14ac:dyDescent="0.3"/>
    <row r="93" s="4" customFormat="1" ht="14.25" customHeight="1" x14ac:dyDescent="0.3"/>
    <row r="94" s="4" customFormat="1" ht="14.25" customHeight="1" x14ac:dyDescent="0.3"/>
    <row r="95" s="4" customFormat="1" ht="14.25" customHeight="1" x14ac:dyDescent="0.3"/>
    <row r="96" s="4" customFormat="1" ht="14.25" customHeight="1" x14ac:dyDescent="0.3"/>
    <row r="97" s="4" customFormat="1" ht="14.25" customHeight="1" x14ac:dyDescent="0.3"/>
    <row r="98" s="4" customFormat="1" ht="14.25" customHeight="1" x14ac:dyDescent="0.3"/>
    <row r="99" s="4" customFormat="1" ht="14.25" customHeight="1" x14ac:dyDescent="0.3"/>
    <row r="100" s="4" customFormat="1" ht="14.25" customHeight="1" x14ac:dyDescent="0.3"/>
    <row r="101" s="4" customFormat="1" ht="14.25" customHeight="1" x14ac:dyDescent="0.3"/>
    <row r="102" s="4" customFormat="1" ht="14.25" customHeight="1" x14ac:dyDescent="0.3"/>
    <row r="103" s="4" customFormat="1" ht="14.25" customHeight="1" x14ac:dyDescent="0.3"/>
    <row r="104" s="4" customFormat="1" ht="14.25" customHeight="1" x14ac:dyDescent="0.3"/>
    <row r="105" s="4" customFormat="1" ht="14.25" customHeight="1" x14ac:dyDescent="0.3"/>
    <row r="106" s="4" customFormat="1" ht="14.25" customHeight="1" x14ac:dyDescent="0.3"/>
    <row r="107" s="4" customFormat="1" ht="14.25" customHeight="1" x14ac:dyDescent="0.3"/>
    <row r="108" s="4" customFormat="1" ht="14.25" customHeight="1" x14ac:dyDescent="0.3"/>
    <row r="109" s="4" customFormat="1" ht="14.25" customHeight="1" x14ac:dyDescent="0.3"/>
    <row r="110" s="4" customFormat="1" ht="14.25" customHeight="1" x14ac:dyDescent="0.3"/>
    <row r="111" s="4" customFormat="1" ht="14.25" customHeight="1" x14ac:dyDescent="0.3"/>
    <row r="112" s="4" customFormat="1" ht="14.25" customHeight="1" x14ac:dyDescent="0.3"/>
    <row r="113" s="4" customFormat="1" ht="14.25" customHeight="1" x14ac:dyDescent="0.3"/>
    <row r="114" s="4" customFormat="1" ht="14.25" customHeight="1" x14ac:dyDescent="0.3"/>
    <row r="115" s="4" customFormat="1" ht="14.25" customHeight="1" x14ac:dyDescent="0.3"/>
    <row r="116" s="4" customFormat="1" ht="14.25" customHeight="1" x14ac:dyDescent="0.3"/>
    <row r="117" s="4" customFormat="1" ht="14.25" customHeight="1" x14ac:dyDescent="0.3"/>
    <row r="118" s="4" customFormat="1" ht="14.25" customHeight="1" x14ac:dyDescent="0.3"/>
    <row r="119" s="4" customFormat="1" ht="14.25" customHeight="1" x14ac:dyDescent="0.3"/>
    <row r="120" s="4" customFormat="1" ht="14.25" customHeight="1" x14ac:dyDescent="0.3"/>
    <row r="121" s="4" customFormat="1" ht="14.25" customHeight="1" x14ac:dyDescent="0.3"/>
    <row r="122" s="4" customFormat="1" ht="14.25" customHeight="1" x14ac:dyDescent="0.3"/>
    <row r="123" s="4" customFormat="1" ht="14.25" customHeight="1" x14ac:dyDescent="0.3"/>
    <row r="124" s="4" customFormat="1" ht="14.25" customHeight="1" x14ac:dyDescent="0.3"/>
    <row r="125" s="4" customFormat="1" ht="14.25" customHeight="1" x14ac:dyDescent="0.3"/>
    <row r="126" s="4" customFormat="1" ht="14.25" customHeight="1" x14ac:dyDescent="0.3"/>
    <row r="127" s="4" customFormat="1" ht="14.25" customHeight="1" x14ac:dyDescent="0.3"/>
    <row r="128" s="4" customFormat="1" ht="14.25" customHeight="1" x14ac:dyDescent="0.3"/>
    <row r="129" s="4" customFormat="1" ht="14.25" customHeight="1" x14ac:dyDescent="0.3"/>
    <row r="130" s="4" customFormat="1" ht="14.25" customHeight="1" x14ac:dyDescent="0.3"/>
    <row r="131" s="4" customFormat="1" ht="14.25" customHeight="1" x14ac:dyDescent="0.3"/>
    <row r="132" s="4" customFormat="1" ht="14.25" customHeight="1" x14ac:dyDescent="0.3"/>
    <row r="133" s="4" customFormat="1" ht="14.25" customHeight="1" x14ac:dyDescent="0.3"/>
    <row r="134" s="4" customFormat="1" ht="14.25" customHeight="1" x14ac:dyDescent="0.3"/>
    <row r="135" s="4" customFormat="1" ht="14.25" customHeight="1" x14ac:dyDescent="0.3"/>
    <row r="136" s="4" customFormat="1" ht="14.25" customHeight="1" x14ac:dyDescent="0.3"/>
    <row r="137" s="4" customFormat="1" ht="14.25" customHeight="1" x14ac:dyDescent="0.3"/>
    <row r="138" s="4" customFormat="1" ht="14.25" customHeight="1" x14ac:dyDescent="0.3"/>
    <row r="139" s="4" customFormat="1" ht="14.25" customHeight="1" x14ac:dyDescent="0.3"/>
    <row r="140" s="4" customFormat="1" ht="14.25" customHeight="1" x14ac:dyDescent="0.3"/>
    <row r="141" s="4" customFormat="1" ht="14.25" customHeight="1" x14ac:dyDescent="0.3"/>
    <row r="142" s="4" customFormat="1" ht="14.25" customHeight="1" x14ac:dyDescent="0.3"/>
    <row r="143" s="4" customFormat="1" ht="14.25" customHeight="1" x14ac:dyDescent="0.3"/>
    <row r="144" s="4" customFormat="1" ht="14.25" customHeight="1" x14ac:dyDescent="0.3"/>
    <row r="145" s="4" customFormat="1" ht="14.25" customHeight="1" x14ac:dyDescent="0.3"/>
    <row r="146" s="4" customFormat="1" ht="14.25" customHeight="1" x14ac:dyDescent="0.3"/>
    <row r="147" s="4" customFormat="1" ht="14.25" customHeight="1" x14ac:dyDescent="0.3"/>
    <row r="148" s="4" customFormat="1" ht="14.25" customHeight="1" x14ac:dyDescent="0.3"/>
    <row r="149" s="4" customFormat="1" ht="14.25" customHeight="1" x14ac:dyDescent="0.3"/>
    <row r="150" s="4" customFormat="1" ht="14.25" customHeight="1" x14ac:dyDescent="0.3"/>
    <row r="151" s="4" customFormat="1" ht="14.25" customHeight="1" x14ac:dyDescent="0.3"/>
    <row r="152" s="4" customFormat="1" ht="14.25" customHeight="1" x14ac:dyDescent="0.3"/>
    <row r="153" s="4" customFormat="1" ht="14.25" customHeight="1" x14ac:dyDescent="0.3"/>
    <row r="154" s="4" customFormat="1" ht="14.25" customHeight="1" x14ac:dyDescent="0.3"/>
    <row r="155" s="4" customFormat="1" ht="14.25" customHeight="1" x14ac:dyDescent="0.3"/>
    <row r="156" s="4" customFormat="1" ht="14.25" customHeight="1" x14ac:dyDescent="0.3"/>
    <row r="157" s="4" customFormat="1" ht="14.25" customHeight="1" x14ac:dyDescent="0.3"/>
    <row r="158" s="4" customFormat="1" ht="14.25" customHeight="1" x14ac:dyDescent="0.3"/>
    <row r="159" s="4" customFormat="1" ht="14.25" customHeight="1" x14ac:dyDescent="0.3"/>
    <row r="160" s="4" customFormat="1" ht="14.25" customHeight="1" x14ac:dyDescent="0.3"/>
    <row r="161" s="4" customFormat="1" ht="14.25" customHeight="1" x14ac:dyDescent="0.3"/>
    <row r="162" s="4" customFormat="1" ht="14.25" customHeight="1" x14ac:dyDescent="0.3"/>
    <row r="163" s="4" customFormat="1" ht="14.25" customHeight="1" x14ac:dyDescent="0.3"/>
    <row r="164" s="4" customFormat="1" ht="14.25" customHeight="1" x14ac:dyDescent="0.3"/>
    <row r="165" s="4" customFormat="1" ht="14.25" customHeight="1" x14ac:dyDescent="0.3"/>
    <row r="166" s="4" customFormat="1" ht="14.25" customHeight="1" x14ac:dyDescent="0.3"/>
    <row r="167" s="4" customFormat="1" ht="14.25" customHeight="1" x14ac:dyDescent="0.3"/>
    <row r="168" s="4" customFormat="1" ht="14.25" customHeight="1" x14ac:dyDescent="0.3"/>
    <row r="169" s="4" customFormat="1" ht="14.25" customHeight="1" x14ac:dyDescent="0.3"/>
    <row r="170" s="4" customFormat="1" ht="14.25" customHeight="1" x14ac:dyDescent="0.3"/>
    <row r="171" s="4" customFormat="1" ht="14.25" customHeight="1" x14ac:dyDescent="0.3"/>
    <row r="172" s="4" customFormat="1" ht="14.25" customHeight="1" x14ac:dyDescent="0.3"/>
    <row r="173" s="4" customFormat="1" ht="14.25" customHeight="1" x14ac:dyDescent="0.3"/>
    <row r="174" s="4" customFormat="1" ht="14.25" customHeight="1" x14ac:dyDescent="0.3"/>
    <row r="175" s="4" customFormat="1" ht="14.25" customHeight="1" x14ac:dyDescent="0.3"/>
    <row r="176" s="4" customFormat="1" ht="14.25" customHeight="1" x14ac:dyDescent="0.3"/>
    <row r="177" s="4" customFormat="1" ht="14.25" customHeight="1" x14ac:dyDescent="0.3"/>
    <row r="178" s="4" customFormat="1" ht="14.25" customHeight="1" x14ac:dyDescent="0.3"/>
    <row r="179" s="4" customFormat="1" ht="14.25" customHeight="1" x14ac:dyDescent="0.3"/>
    <row r="180" s="4" customFormat="1" ht="14.25" customHeight="1" x14ac:dyDescent="0.3"/>
    <row r="181" s="4" customFormat="1" ht="14.25" customHeight="1" x14ac:dyDescent="0.3"/>
    <row r="182" s="4" customFormat="1" ht="14.25" customHeight="1" x14ac:dyDescent="0.3"/>
    <row r="183" s="4" customFormat="1" ht="14.25" customHeight="1" x14ac:dyDescent="0.3"/>
    <row r="184" s="4" customFormat="1" ht="14.25" customHeight="1" x14ac:dyDescent="0.3"/>
    <row r="185" s="4" customFormat="1" ht="14.25" customHeight="1" x14ac:dyDescent="0.3"/>
    <row r="186" s="4" customFormat="1" ht="14.25" customHeight="1" x14ac:dyDescent="0.3"/>
    <row r="187" s="4" customFormat="1" ht="14.25" customHeight="1" x14ac:dyDescent="0.3"/>
    <row r="188" s="4" customFormat="1" ht="14.25" customHeight="1" x14ac:dyDescent="0.3"/>
    <row r="189" s="4" customFormat="1" ht="14.25" customHeight="1" x14ac:dyDescent="0.3"/>
    <row r="190" s="4" customFormat="1" ht="14.25" customHeight="1" x14ac:dyDescent="0.3"/>
    <row r="191" s="4" customFormat="1" ht="14.25" customHeight="1" x14ac:dyDescent="0.3"/>
    <row r="192" s="4" customFormat="1" ht="14.25" customHeight="1" x14ac:dyDescent="0.3"/>
    <row r="193" s="4" customFormat="1" ht="14.25" customHeight="1" x14ac:dyDescent="0.3"/>
    <row r="194" s="4" customFormat="1" ht="14.25" customHeight="1" x14ac:dyDescent="0.3"/>
    <row r="195" s="4" customFormat="1" ht="14.25" customHeight="1" x14ac:dyDescent="0.3"/>
    <row r="196" s="4" customFormat="1" ht="14.25" customHeight="1" x14ac:dyDescent="0.3"/>
    <row r="197" s="4" customFormat="1" ht="14.25" customHeight="1" x14ac:dyDescent="0.3"/>
    <row r="198" s="4" customFormat="1" ht="14.25" customHeight="1" x14ac:dyDescent="0.3"/>
    <row r="199" s="4" customFormat="1" ht="14.25" customHeight="1" x14ac:dyDescent="0.3"/>
    <row r="200" s="4" customFormat="1" ht="14.25" customHeight="1" x14ac:dyDescent="0.3"/>
    <row r="201" s="4" customFormat="1" ht="14.25" customHeight="1" x14ac:dyDescent="0.3"/>
    <row r="202" s="4" customFormat="1" ht="14.25" customHeight="1" x14ac:dyDescent="0.3"/>
    <row r="203" s="4" customFormat="1" ht="14.25" customHeight="1" x14ac:dyDescent="0.3"/>
    <row r="204" s="4" customFormat="1" ht="14.25" customHeight="1" x14ac:dyDescent="0.3"/>
    <row r="205" s="4" customFormat="1" ht="14.25" customHeight="1" x14ac:dyDescent="0.3"/>
    <row r="206" s="4" customFormat="1" ht="14.25" customHeight="1" x14ac:dyDescent="0.3"/>
    <row r="207" s="4" customFormat="1" ht="14.25" customHeight="1" x14ac:dyDescent="0.3"/>
    <row r="208" s="4" customFormat="1" ht="14.25" customHeight="1" x14ac:dyDescent="0.3"/>
    <row r="209" s="4" customFormat="1" ht="14.25" customHeight="1" x14ac:dyDescent="0.3"/>
    <row r="210" s="4" customFormat="1" ht="14.25" customHeight="1" x14ac:dyDescent="0.3"/>
    <row r="211" s="4" customFormat="1" ht="14.25" customHeight="1" x14ac:dyDescent="0.3"/>
    <row r="212" s="4" customFormat="1" ht="14.25" customHeight="1" x14ac:dyDescent="0.3"/>
    <row r="213" s="4" customFormat="1" ht="14.25" customHeight="1" x14ac:dyDescent="0.3"/>
    <row r="214" s="4" customFormat="1" ht="14.25" customHeight="1" x14ac:dyDescent="0.3"/>
    <row r="215" s="4" customFormat="1" ht="14.25" customHeight="1" x14ac:dyDescent="0.3"/>
    <row r="216" s="4" customFormat="1" ht="14.25" customHeight="1" x14ac:dyDescent="0.3"/>
    <row r="217" s="4" customFormat="1" ht="14.25" customHeight="1" x14ac:dyDescent="0.3"/>
    <row r="218" s="4" customFormat="1" ht="14.25" customHeight="1" x14ac:dyDescent="0.3"/>
    <row r="219" s="4" customFormat="1" ht="14.25" customHeight="1" x14ac:dyDescent="0.3"/>
    <row r="220" s="4" customFormat="1" ht="14.25" customHeight="1" x14ac:dyDescent="0.3"/>
    <row r="221" s="4" customFormat="1" ht="14.25" customHeight="1" x14ac:dyDescent="0.3"/>
    <row r="222" s="4" customFormat="1" ht="14.25" customHeight="1" x14ac:dyDescent="0.3"/>
    <row r="223" s="4" customFormat="1" ht="14.25" customHeight="1" x14ac:dyDescent="0.3"/>
    <row r="224" s="4" customFormat="1" ht="14.25" customHeight="1" x14ac:dyDescent="0.3"/>
    <row r="225" s="4" customFormat="1" ht="14.25" customHeight="1" x14ac:dyDescent="0.3"/>
    <row r="226" s="4" customFormat="1" ht="14.25" customHeight="1" x14ac:dyDescent="0.3"/>
    <row r="227" s="4" customFormat="1" ht="14.25" customHeight="1" x14ac:dyDescent="0.3"/>
    <row r="228" s="4" customFormat="1" ht="14.25" customHeight="1" x14ac:dyDescent="0.3"/>
    <row r="229" s="4" customFormat="1" ht="14.25" customHeight="1" x14ac:dyDescent="0.3"/>
    <row r="230" s="4" customFormat="1" ht="14.25" customHeight="1" x14ac:dyDescent="0.3"/>
    <row r="231" s="4" customFormat="1" ht="14.25" customHeight="1" x14ac:dyDescent="0.3"/>
    <row r="232" s="4" customFormat="1" ht="14.25" customHeight="1" x14ac:dyDescent="0.3"/>
    <row r="233" s="4" customFormat="1" ht="14.25" customHeight="1" x14ac:dyDescent="0.3"/>
    <row r="234" s="4" customFormat="1" ht="14.25" customHeight="1" x14ac:dyDescent="0.3"/>
    <row r="235" s="4" customFormat="1" ht="14.25" customHeight="1" x14ac:dyDescent="0.3"/>
    <row r="236" s="4" customFormat="1" ht="14.25" customHeight="1" x14ac:dyDescent="0.3"/>
    <row r="237" s="4" customFormat="1" ht="14.25" customHeight="1" x14ac:dyDescent="0.3"/>
    <row r="238" s="4" customFormat="1" ht="14.25" customHeight="1" x14ac:dyDescent="0.3"/>
    <row r="239" s="4" customFormat="1" ht="14.25" customHeight="1" x14ac:dyDescent="0.3"/>
    <row r="240" s="4" customFormat="1" ht="14.25" customHeight="1" x14ac:dyDescent="0.3"/>
    <row r="241" s="4" customFormat="1" ht="14.25" customHeight="1" x14ac:dyDescent="0.3"/>
    <row r="242" s="4" customFormat="1" ht="14.25" customHeight="1" x14ac:dyDescent="0.3"/>
    <row r="243" s="4" customFormat="1" ht="14.25" customHeight="1" x14ac:dyDescent="0.3"/>
    <row r="244" s="4" customFormat="1" ht="14.25" customHeight="1" x14ac:dyDescent="0.3"/>
    <row r="245" s="4" customFormat="1" ht="14.25" customHeight="1" x14ac:dyDescent="0.3"/>
    <row r="246" s="4" customFormat="1" ht="14.25" customHeight="1" x14ac:dyDescent="0.3"/>
    <row r="247" s="4" customFormat="1" ht="14.25" customHeight="1" x14ac:dyDescent="0.3"/>
    <row r="248" s="4" customFormat="1" ht="14.25" customHeight="1" x14ac:dyDescent="0.3"/>
    <row r="249" s="4" customFormat="1" ht="14.25" customHeight="1" x14ac:dyDescent="0.3"/>
    <row r="250" s="4" customFormat="1" ht="14.25" customHeight="1" x14ac:dyDescent="0.3"/>
    <row r="251" s="4" customFormat="1" ht="14.25" customHeight="1" x14ac:dyDescent="0.3"/>
    <row r="252" s="4" customFormat="1" ht="14.25" customHeight="1" x14ac:dyDescent="0.3"/>
    <row r="253" s="4" customFormat="1" ht="14.25" customHeight="1" x14ac:dyDescent="0.3"/>
    <row r="254" s="4" customFormat="1" ht="14.25" customHeight="1" x14ac:dyDescent="0.3"/>
    <row r="255" s="4" customFormat="1" ht="14.25" customHeight="1" x14ac:dyDescent="0.3"/>
    <row r="256" s="4" customFormat="1" ht="14.25" customHeight="1" x14ac:dyDescent="0.3"/>
    <row r="257" s="4" customFormat="1" ht="14.25" customHeight="1" x14ac:dyDescent="0.3"/>
    <row r="258" s="4" customFormat="1" ht="14.25" customHeight="1" x14ac:dyDescent="0.3"/>
    <row r="259" s="4" customFormat="1" ht="14.25" customHeight="1" x14ac:dyDescent="0.3"/>
    <row r="260" s="4" customFormat="1" ht="14.25" customHeight="1" x14ac:dyDescent="0.3"/>
    <row r="261" s="4" customFormat="1" ht="14.25" customHeight="1" x14ac:dyDescent="0.3"/>
    <row r="262" s="4" customFormat="1" ht="14.25" customHeight="1" x14ac:dyDescent="0.3"/>
    <row r="263" s="4" customFormat="1" ht="14.25" customHeight="1" x14ac:dyDescent="0.3"/>
    <row r="264" s="4" customFormat="1" ht="14.25" customHeight="1" x14ac:dyDescent="0.3"/>
    <row r="265" s="4" customFormat="1" ht="14.25" customHeight="1" x14ac:dyDescent="0.3"/>
    <row r="266" s="4" customFormat="1" ht="14.25" customHeight="1" x14ac:dyDescent="0.3"/>
    <row r="267" s="4" customFormat="1" ht="14.25" customHeight="1" x14ac:dyDescent="0.3"/>
    <row r="268" s="4" customFormat="1" ht="14.25" customHeight="1" x14ac:dyDescent="0.3"/>
    <row r="269" s="4" customFormat="1" ht="14.25" customHeight="1" x14ac:dyDescent="0.3"/>
    <row r="270" s="4" customFormat="1" ht="14.25" customHeight="1" x14ac:dyDescent="0.3"/>
    <row r="271" s="4" customFormat="1" ht="14.25" customHeight="1" x14ac:dyDescent="0.3"/>
    <row r="272" s="4" customFormat="1" ht="14.25" customHeight="1" x14ac:dyDescent="0.3"/>
    <row r="273" s="4" customFormat="1" ht="14.25" customHeight="1" x14ac:dyDescent="0.3"/>
    <row r="274" s="4" customFormat="1" ht="14.25" customHeight="1" x14ac:dyDescent="0.3"/>
    <row r="275" s="4" customFormat="1" ht="14.25" customHeight="1" x14ac:dyDescent="0.3"/>
    <row r="276" s="4" customFormat="1" ht="14.25" customHeight="1" x14ac:dyDescent="0.3"/>
    <row r="277" s="4" customFormat="1" ht="14.25" customHeight="1" x14ac:dyDescent="0.3"/>
    <row r="278" s="4" customFormat="1" ht="14.25" customHeight="1" x14ac:dyDescent="0.3"/>
    <row r="279" s="4" customFormat="1" ht="14.25" customHeight="1" x14ac:dyDescent="0.3"/>
    <row r="280" s="4" customFormat="1" ht="14.25" customHeight="1" x14ac:dyDescent="0.3"/>
    <row r="281" s="4" customFormat="1" ht="14.25" customHeight="1" x14ac:dyDescent="0.3"/>
    <row r="282" s="4" customFormat="1" ht="14.25" customHeight="1" x14ac:dyDescent="0.3"/>
    <row r="283" s="4" customFormat="1" ht="14.25" customHeight="1" x14ac:dyDescent="0.3"/>
    <row r="284" s="4" customFormat="1" ht="14.25" customHeight="1" x14ac:dyDescent="0.3"/>
    <row r="285" s="4" customFormat="1" ht="14.25" customHeight="1" x14ac:dyDescent="0.3"/>
    <row r="286" s="4" customFormat="1" ht="14.25" customHeight="1" x14ac:dyDescent="0.3"/>
    <row r="287" s="4" customFormat="1" ht="14.25" customHeight="1" x14ac:dyDescent="0.3"/>
    <row r="288" s="4" customFormat="1" ht="14.25" customHeight="1" x14ac:dyDescent="0.3"/>
    <row r="289" s="4" customFormat="1" ht="14.25" customHeight="1" x14ac:dyDescent="0.3"/>
    <row r="290" s="4" customFormat="1" ht="14.25" customHeight="1" x14ac:dyDescent="0.3"/>
    <row r="291" s="4" customFormat="1" ht="14.25" customHeight="1" x14ac:dyDescent="0.3"/>
    <row r="292" s="4" customFormat="1" ht="14.25" customHeight="1" x14ac:dyDescent="0.3"/>
    <row r="293" s="4" customFormat="1" ht="14.25" customHeight="1" x14ac:dyDescent="0.3"/>
    <row r="294" s="4" customFormat="1" ht="14.25" customHeight="1" x14ac:dyDescent="0.3"/>
    <row r="295" s="4" customFormat="1" ht="14.25" customHeight="1" x14ac:dyDescent="0.3"/>
    <row r="296" s="4" customFormat="1" ht="14.25" customHeight="1" x14ac:dyDescent="0.3"/>
    <row r="297" s="4" customFormat="1" ht="14.25" customHeight="1" x14ac:dyDescent="0.3"/>
    <row r="298" s="4" customFormat="1" ht="14.25" customHeight="1" x14ac:dyDescent="0.3"/>
    <row r="299" s="4" customFormat="1" ht="14.25" customHeight="1" x14ac:dyDescent="0.3"/>
    <row r="300" s="4" customFormat="1" ht="14.25" customHeight="1" x14ac:dyDescent="0.3"/>
    <row r="301" s="4" customFormat="1" ht="14.25" customHeight="1" x14ac:dyDescent="0.3"/>
    <row r="302" s="4" customFormat="1" ht="14.25" customHeight="1" x14ac:dyDescent="0.3"/>
    <row r="303" s="4" customFormat="1" ht="14.25" customHeight="1" x14ac:dyDescent="0.3"/>
    <row r="304" s="4" customFormat="1" ht="14.25" customHeight="1" x14ac:dyDescent="0.3"/>
    <row r="305" s="4" customFormat="1" ht="14.25" customHeight="1" x14ac:dyDescent="0.3"/>
    <row r="306" s="4" customFormat="1" ht="14.25" customHeight="1" x14ac:dyDescent="0.3"/>
    <row r="307" s="4" customFormat="1" ht="14.25" customHeight="1" x14ac:dyDescent="0.3"/>
    <row r="308" s="4" customFormat="1" ht="14.25" customHeight="1" x14ac:dyDescent="0.3"/>
    <row r="309" s="4" customFormat="1" ht="14.25" customHeight="1" x14ac:dyDescent="0.3"/>
    <row r="310" s="4" customFormat="1" ht="14.25" customHeight="1" x14ac:dyDescent="0.3"/>
    <row r="311" s="4" customFormat="1" ht="14.25" customHeight="1" x14ac:dyDescent="0.3"/>
    <row r="312" s="4" customFormat="1" ht="14.25" customHeight="1" x14ac:dyDescent="0.3"/>
    <row r="313" s="4" customFormat="1" ht="14.25" customHeight="1" x14ac:dyDescent="0.3"/>
    <row r="314" s="4" customFormat="1" ht="14.25" customHeight="1" x14ac:dyDescent="0.3"/>
    <row r="315" s="4" customFormat="1" ht="14.25" customHeight="1" x14ac:dyDescent="0.3"/>
    <row r="316" s="4" customFormat="1" ht="14.25" customHeight="1" x14ac:dyDescent="0.3"/>
    <row r="317" s="4" customFormat="1" ht="14.25" customHeight="1" x14ac:dyDescent="0.3"/>
    <row r="318" s="4" customFormat="1" ht="14.25" customHeight="1" x14ac:dyDescent="0.3"/>
    <row r="319" s="4" customFormat="1" ht="14.25" customHeight="1" x14ac:dyDescent="0.3"/>
    <row r="320" s="4" customFormat="1" ht="14.25" customHeight="1" x14ac:dyDescent="0.3"/>
    <row r="321" s="4" customFormat="1" ht="14.25" customHeight="1" x14ac:dyDescent="0.3"/>
    <row r="322" s="4" customFormat="1" ht="14.25" customHeight="1" x14ac:dyDescent="0.3"/>
    <row r="323" s="4" customFormat="1" ht="14.25" customHeight="1" x14ac:dyDescent="0.3"/>
    <row r="324" s="4" customFormat="1" ht="14.25" customHeight="1" x14ac:dyDescent="0.3"/>
    <row r="325" s="4" customFormat="1" ht="14.25" customHeight="1" x14ac:dyDescent="0.3"/>
    <row r="326" s="4" customFormat="1" ht="14.25" customHeight="1" x14ac:dyDescent="0.3"/>
    <row r="327" s="4" customFormat="1" ht="14.25" customHeight="1" x14ac:dyDescent="0.3"/>
    <row r="328" s="4" customFormat="1" ht="14.25" customHeight="1" x14ac:dyDescent="0.3"/>
    <row r="329" s="4" customFormat="1" ht="14.25" customHeight="1" x14ac:dyDescent="0.3"/>
    <row r="330" s="4" customFormat="1" ht="14.25" customHeight="1" x14ac:dyDescent="0.3"/>
    <row r="331" s="4" customFormat="1" ht="14.25" customHeight="1" x14ac:dyDescent="0.3"/>
    <row r="332" s="4" customFormat="1" ht="14.25" customHeight="1" x14ac:dyDescent="0.3"/>
    <row r="333" s="4" customFormat="1" ht="14.25" customHeight="1" x14ac:dyDescent="0.3"/>
    <row r="334" s="4" customFormat="1" ht="14.25" customHeight="1" x14ac:dyDescent="0.3"/>
    <row r="335" s="4" customFormat="1" ht="14.25" customHeight="1" x14ac:dyDescent="0.3"/>
    <row r="336" s="4" customFormat="1" ht="14.25" customHeight="1" x14ac:dyDescent="0.3"/>
    <row r="337" s="4" customFormat="1" ht="14.25" customHeight="1" x14ac:dyDescent="0.3"/>
    <row r="338" s="4" customFormat="1" ht="14.25" customHeight="1" x14ac:dyDescent="0.3"/>
    <row r="339" s="4" customFormat="1" ht="14.25" customHeight="1" x14ac:dyDescent="0.3"/>
    <row r="340" s="4" customFormat="1" ht="14.25" customHeight="1" x14ac:dyDescent="0.3"/>
    <row r="341" s="4" customFormat="1" ht="14.25" customHeight="1" x14ac:dyDescent="0.3"/>
    <row r="342" s="4" customFormat="1" ht="14.25" customHeight="1" x14ac:dyDescent="0.3"/>
    <row r="343" s="4" customFormat="1" ht="14.25" customHeight="1" x14ac:dyDescent="0.3"/>
    <row r="344" s="4" customFormat="1" ht="14.25" customHeight="1" x14ac:dyDescent="0.3"/>
    <row r="345" s="4" customFormat="1" ht="14.25" customHeight="1" x14ac:dyDescent="0.3"/>
    <row r="346" s="4" customFormat="1" ht="14.25" customHeight="1" x14ac:dyDescent="0.3"/>
    <row r="347" s="4" customFormat="1" ht="14.25" customHeight="1" x14ac:dyDescent="0.3"/>
    <row r="348" s="4" customFormat="1" ht="14.25" customHeight="1" x14ac:dyDescent="0.3"/>
    <row r="349" s="4" customFormat="1" ht="14.25" customHeight="1" x14ac:dyDescent="0.3"/>
    <row r="350" s="4" customFormat="1" ht="14.25" customHeight="1" x14ac:dyDescent="0.3"/>
    <row r="351" s="4" customFormat="1" ht="14.25" customHeight="1" x14ac:dyDescent="0.3"/>
    <row r="352" s="4" customFormat="1" ht="14.25" customHeight="1" x14ac:dyDescent="0.3"/>
    <row r="353" s="4" customFormat="1" ht="14.25" customHeight="1" x14ac:dyDescent="0.3"/>
    <row r="354" s="4" customFormat="1" ht="14.25" customHeight="1" x14ac:dyDescent="0.3"/>
    <row r="355" s="4" customFormat="1" ht="14.25" customHeight="1" x14ac:dyDescent="0.3"/>
    <row r="356" s="4" customFormat="1" ht="14.25" customHeight="1" x14ac:dyDescent="0.3"/>
    <row r="357" s="4" customFormat="1" ht="14.25" customHeight="1" x14ac:dyDescent="0.3"/>
    <row r="358" s="4" customFormat="1" ht="14.25" customHeight="1" x14ac:dyDescent="0.3"/>
    <row r="359" s="4" customFormat="1" ht="14.25" customHeight="1" x14ac:dyDescent="0.3"/>
    <row r="360" s="4" customFormat="1" ht="14.25" customHeight="1" x14ac:dyDescent="0.3"/>
    <row r="361" s="4" customFormat="1" ht="14.25" customHeight="1" x14ac:dyDescent="0.3"/>
    <row r="362" s="4" customFormat="1" ht="14.25" customHeight="1" x14ac:dyDescent="0.3"/>
    <row r="363" s="4" customFormat="1" ht="14.25" customHeight="1" x14ac:dyDescent="0.3"/>
    <row r="364" s="4" customFormat="1" ht="14.25" customHeight="1" x14ac:dyDescent="0.3"/>
    <row r="365" s="4" customFormat="1" ht="14.25" customHeight="1" x14ac:dyDescent="0.3"/>
    <row r="366" s="4" customFormat="1" ht="14.25" customHeight="1" x14ac:dyDescent="0.3"/>
    <row r="367" s="4" customFormat="1" ht="14.25" customHeight="1" x14ac:dyDescent="0.3"/>
    <row r="368" s="4" customFormat="1" ht="14.25" customHeight="1" x14ac:dyDescent="0.3"/>
    <row r="369" s="4" customFormat="1" ht="14.25" customHeight="1" x14ac:dyDescent="0.3"/>
    <row r="370" s="4" customFormat="1" ht="14.25" customHeight="1" x14ac:dyDescent="0.3"/>
    <row r="371" s="4" customFormat="1" ht="14.25" customHeight="1" x14ac:dyDescent="0.3"/>
    <row r="372" s="4" customFormat="1" ht="14.25" customHeight="1" x14ac:dyDescent="0.3"/>
    <row r="373" s="4" customFormat="1" ht="14.25" customHeight="1" x14ac:dyDescent="0.3"/>
    <row r="374" s="4" customFormat="1" ht="14.25" customHeight="1" x14ac:dyDescent="0.3"/>
    <row r="375" s="4" customFormat="1" ht="14.25" customHeight="1" x14ac:dyDescent="0.3"/>
    <row r="376" s="4" customFormat="1" ht="14.25" customHeight="1" x14ac:dyDescent="0.3"/>
    <row r="377" s="4" customFormat="1" ht="14.25" customHeight="1" x14ac:dyDescent="0.3"/>
    <row r="378" s="4" customFormat="1" ht="14.25" customHeight="1" x14ac:dyDescent="0.3"/>
    <row r="379" s="4" customFormat="1" ht="14.25" customHeight="1" x14ac:dyDescent="0.3"/>
    <row r="380" s="4" customFormat="1" ht="14.25" customHeight="1" x14ac:dyDescent="0.3"/>
    <row r="381" s="4" customFormat="1" ht="14.25" customHeight="1" x14ac:dyDescent="0.3"/>
    <row r="382" s="4" customFormat="1" ht="14.25" customHeight="1" x14ac:dyDescent="0.3"/>
    <row r="383" s="4" customFormat="1" ht="14.25" customHeight="1" x14ac:dyDescent="0.3"/>
    <row r="384" s="4" customFormat="1" ht="14.25" customHeight="1" x14ac:dyDescent="0.3"/>
    <row r="385" s="4" customFormat="1" ht="14.25" customHeight="1" x14ac:dyDescent="0.3"/>
    <row r="386" s="4" customFormat="1" ht="14.25" customHeight="1" x14ac:dyDescent="0.3"/>
    <row r="387" s="4" customFormat="1" ht="14.25" customHeight="1" x14ac:dyDescent="0.3"/>
    <row r="388" s="4" customFormat="1" ht="14.25" customHeight="1" x14ac:dyDescent="0.3"/>
    <row r="389" s="4" customFormat="1" ht="14.25" customHeight="1" x14ac:dyDescent="0.3"/>
    <row r="390" s="4" customFormat="1" ht="14.25" customHeight="1" x14ac:dyDescent="0.3"/>
    <row r="391" s="4" customFormat="1" ht="14.25" customHeight="1" x14ac:dyDescent="0.3"/>
    <row r="392" s="4" customFormat="1" ht="14.25" customHeight="1" x14ac:dyDescent="0.3"/>
    <row r="393" s="4" customFormat="1" ht="14.25" customHeight="1" x14ac:dyDescent="0.3"/>
    <row r="394" s="4" customFormat="1" ht="14.25" customHeight="1" x14ac:dyDescent="0.3"/>
    <row r="395" s="4" customFormat="1" ht="14.25" customHeight="1" x14ac:dyDescent="0.3"/>
    <row r="396" s="4" customFormat="1" ht="14.25" customHeight="1" x14ac:dyDescent="0.3"/>
    <row r="397" s="4" customFormat="1" ht="14.25" customHeight="1" x14ac:dyDescent="0.3"/>
    <row r="398" s="4" customFormat="1" ht="14.25" customHeight="1" x14ac:dyDescent="0.3"/>
    <row r="399" s="4" customFormat="1" ht="14.25" customHeight="1" x14ac:dyDescent="0.3"/>
    <row r="400" s="4" customFormat="1" ht="14.25" customHeight="1" x14ac:dyDescent="0.3"/>
    <row r="401" s="4" customFormat="1" ht="14.25" customHeight="1" x14ac:dyDescent="0.3"/>
    <row r="402" s="4" customFormat="1" ht="14.25" customHeight="1" x14ac:dyDescent="0.3"/>
    <row r="403" s="4" customFormat="1" ht="14.25" customHeight="1" x14ac:dyDescent="0.3"/>
    <row r="404" s="4" customFormat="1" ht="14.25" customHeight="1" x14ac:dyDescent="0.3"/>
    <row r="405" s="4" customFormat="1" ht="14.25" customHeight="1" x14ac:dyDescent="0.3"/>
    <row r="406" s="4" customFormat="1" ht="14.25" customHeight="1" x14ac:dyDescent="0.3"/>
    <row r="407" s="4" customFormat="1" ht="14.25" customHeight="1" x14ac:dyDescent="0.3"/>
    <row r="408" s="4" customFormat="1" ht="14.25" customHeight="1" x14ac:dyDescent="0.3"/>
    <row r="409" s="4" customFormat="1" ht="14.25" customHeight="1" x14ac:dyDescent="0.3"/>
    <row r="410" s="4" customFormat="1" ht="14.25" customHeight="1" x14ac:dyDescent="0.3"/>
    <row r="411" s="4" customFormat="1" ht="14.25" customHeight="1" x14ac:dyDescent="0.3"/>
    <row r="412" s="4" customFormat="1" ht="14.25" customHeight="1" x14ac:dyDescent="0.3"/>
    <row r="413" s="4" customFormat="1" ht="14.25" customHeight="1" x14ac:dyDescent="0.3"/>
    <row r="414" s="4" customFormat="1" ht="14.25" customHeight="1" x14ac:dyDescent="0.3"/>
    <row r="415" s="4" customFormat="1" ht="14.25" customHeight="1" x14ac:dyDescent="0.3"/>
    <row r="416" s="4" customFormat="1" ht="14.25" customHeight="1" x14ac:dyDescent="0.3"/>
    <row r="417" s="4" customFormat="1" ht="14.25" customHeight="1" x14ac:dyDescent="0.3"/>
    <row r="418" s="4" customFormat="1" ht="14.25" customHeight="1" x14ac:dyDescent="0.3"/>
    <row r="419" s="4" customFormat="1" ht="14.25" customHeight="1" x14ac:dyDescent="0.3"/>
    <row r="420" s="4" customFormat="1" ht="14.25" customHeight="1" x14ac:dyDescent="0.3"/>
    <row r="421" s="4" customFormat="1" ht="14.25" customHeight="1" x14ac:dyDescent="0.3"/>
    <row r="422" s="4" customFormat="1" ht="14.25" customHeight="1" x14ac:dyDescent="0.3"/>
    <row r="423" s="4" customFormat="1" ht="14.25" customHeight="1" x14ac:dyDescent="0.3"/>
    <row r="424" s="4" customFormat="1" ht="14.25" customHeight="1" x14ac:dyDescent="0.3"/>
    <row r="425" s="4" customFormat="1" ht="14.25" customHeight="1" x14ac:dyDescent="0.3"/>
    <row r="426" s="4" customFormat="1" ht="14.25" customHeight="1" x14ac:dyDescent="0.3"/>
    <row r="427" s="4" customFormat="1" ht="14.25" customHeight="1" x14ac:dyDescent="0.3"/>
    <row r="428" s="4" customFormat="1" ht="14.25" customHeight="1" x14ac:dyDescent="0.3"/>
    <row r="429" s="4" customFormat="1" ht="14.25" customHeight="1" x14ac:dyDescent="0.3"/>
    <row r="430" s="4" customFormat="1" ht="14.25" customHeight="1" x14ac:dyDescent="0.3"/>
    <row r="431" s="4" customFormat="1" ht="14.25" customHeight="1" x14ac:dyDescent="0.3"/>
    <row r="432" s="4" customFormat="1" ht="14.25" customHeight="1" x14ac:dyDescent="0.3"/>
    <row r="433" s="4" customFormat="1" ht="14.25" customHeight="1" x14ac:dyDescent="0.3"/>
    <row r="434" s="4" customFormat="1" ht="14.25" customHeight="1" x14ac:dyDescent="0.3"/>
    <row r="435" s="4" customFormat="1" ht="14.25" customHeight="1" x14ac:dyDescent="0.3"/>
    <row r="436" s="4" customFormat="1" ht="14.25" customHeight="1" x14ac:dyDescent="0.3"/>
    <row r="437" s="4" customFormat="1" ht="14.25" customHeight="1" x14ac:dyDescent="0.3"/>
    <row r="438" s="4" customFormat="1" ht="14.25" customHeight="1" x14ac:dyDescent="0.3"/>
    <row r="439" s="4" customFormat="1" ht="14.25" customHeight="1" x14ac:dyDescent="0.3"/>
    <row r="440" s="4" customFormat="1" ht="14.25" customHeight="1" x14ac:dyDescent="0.3"/>
    <row r="441" s="4" customFormat="1" ht="14.25" customHeight="1" x14ac:dyDescent="0.3"/>
    <row r="442" s="4" customFormat="1" ht="14.25" customHeight="1" x14ac:dyDescent="0.3"/>
    <row r="443" s="4" customFormat="1" ht="14.25" customHeight="1" x14ac:dyDescent="0.3"/>
    <row r="444" s="4" customFormat="1" ht="14.25" customHeight="1" x14ac:dyDescent="0.3"/>
    <row r="445" s="4" customFormat="1" ht="14.25" customHeight="1" x14ac:dyDescent="0.3"/>
    <row r="446" s="4" customFormat="1" ht="14.25" customHeight="1" x14ac:dyDescent="0.3"/>
    <row r="447" s="4" customFormat="1" ht="14.25" customHeight="1" x14ac:dyDescent="0.3"/>
    <row r="448" s="4" customFormat="1" ht="14.25" customHeight="1" x14ac:dyDescent="0.3"/>
    <row r="449" s="4" customFormat="1" ht="14.25" customHeight="1" x14ac:dyDescent="0.3"/>
    <row r="450" s="4" customFormat="1" ht="14.25" customHeight="1" x14ac:dyDescent="0.3"/>
    <row r="451" s="4" customFormat="1" ht="14.25" customHeight="1" x14ac:dyDescent="0.3"/>
    <row r="452" s="4" customFormat="1" ht="14.25" customHeight="1" x14ac:dyDescent="0.3"/>
    <row r="453" s="4" customFormat="1" ht="14.25" customHeight="1" x14ac:dyDescent="0.3"/>
    <row r="454" s="4" customFormat="1" ht="14.25" customHeight="1" x14ac:dyDescent="0.3"/>
    <row r="455" s="4" customFormat="1" ht="14.25" customHeight="1" x14ac:dyDescent="0.3"/>
    <row r="456" s="4" customFormat="1" ht="14.25" customHeight="1" x14ac:dyDescent="0.3"/>
    <row r="457" s="4" customFormat="1" ht="14.25" customHeight="1" x14ac:dyDescent="0.3"/>
    <row r="458" s="4" customFormat="1" ht="14.25" customHeight="1" x14ac:dyDescent="0.3"/>
    <row r="459" s="4" customFormat="1" ht="14.25" customHeight="1" x14ac:dyDescent="0.3"/>
    <row r="460" s="4" customFormat="1" ht="14.25" customHeight="1" x14ac:dyDescent="0.3"/>
    <row r="461" s="4" customFormat="1" ht="14.25" customHeight="1" x14ac:dyDescent="0.3"/>
    <row r="462" s="4" customFormat="1" ht="14.25" customHeight="1" x14ac:dyDescent="0.3"/>
    <row r="463" s="4" customFormat="1" ht="14.25" customHeight="1" x14ac:dyDescent="0.3"/>
    <row r="464" s="4" customFormat="1" ht="14.25" customHeight="1" x14ac:dyDescent="0.3"/>
    <row r="465" s="4" customFormat="1" ht="14.25" customHeight="1" x14ac:dyDescent="0.3"/>
    <row r="466" s="4" customFormat="1" ht="14.25" customHeight="1" x14ac:dyDescent="0.3"/>
    <row r="467" s="4" customFormat="1" ht="14.25" customHeight="1" x14ac:dyDescent="0.3"/>
    <row r="468" s="4" customFormat="1" ht="14.25" customHeight="1" x14ac:dyDescent="0.3"/>
    <row r="469" s="4" customFormat="1" ht="14.25" customHeight="1" x14ac:dyDescent="0.3"/>
    <row r="470" s="4" customFormat="1" ht="14.25" customHeight="1" x14ac:dyDescent="0.3"/>
    <row r="471" s="4" customFormat="1" ht="14.25" customHeight="1" x14ac:dyDescent="0.3"/>
    <row r="472" s="4" customFormat="1" ht="14.25" customHeight="1" x14ac:dyDescent="0.3"/>
    <row r="473" s="4" customFormat="1" ht="14.25" customHeight="1" x14ac:dyDescent="0.3"/>
    <row r="474" s="4" customFormat="1" ht="14.25" customHeight="1" x14ac:dyDescent="0.3"/>
    <row r="475" s="4" customFormat="1" ht="14.25" customHeight="1" x14ac:dyDescent="0.3"/>
    <row r="476" s="4" customFormat="1" ht="14.25" customHeight="1" x14ac:dyDescent="0.3"/>
    <row r="477" s="4" customFormat="1" ht="14.25" customHeight="1" x14ac:dyDescent="0.3"/>
    <row r="478" s="4" customFormat="1" ht="14.25" customHeight="1" x14ac:dyDescent="0.3"/>
    <row r="479" s="4" customFormat="1" ht="14.25" customHeight="1" x14ac:dyDescent="0.3"/>
    <row r="480" s="4" customFormat="1" ht="14.25" customHeight="1" x14ac:dyDescent="0.3"/>
    <row r="481" s="4" customFormat="1" ht="14.25" customHeight="1" x14ac:dyDescent="0.3"/>
    <row r="482" s="4" customFormat="1" ht="14.25" customHeight="1" x14ac:dyDescent="0.3"/>
    <row r="483" s="4" customFormat="1" ht="14.25" customHeight="1" x14ac:dyDescent="0.3"/>
    <row r="484" s="4" customFormat="1" ht="14.25" customHeight="1" x14ac:dyDescent="0.3"/>
    <row r="485" s="4" customFormat="1" ht="14.25" customHeight="1" x14ac:dyDescent="0.3"/>
    <row r="486" s="4" customFormat="1" ht="14.25" customHeight="1" x14ac:dyDescent="0.3"/>
    <row r="487" s="4" customFormat="1" ht="14.25" customHeight="1" x14ac:dyDescent="0.3"/>
    <row r="488" s="4" customFormat="1" ht="14.25" customHeight="1" x14ac:dyDescent="0.3"/>
    <row r="489" s="4" customFormat="1" ht="14.25" customHeight="1" x14ac:dyDescent="0.3"/>
    <row r="490" s="4" customFormat="1" ht="14.25" customHeight="1" x14ac:dyDescent="0.3"/>
    <row r="491" s="4" customFormat="1" ht="14.25" customHeight="1" x14ac:dyDescent="0.3"/>
    <row r="492" s="4" customFormat="1" ht="14.25" customHeight="1" x14ac:dyDescent="0.3"/>
    <row r="493" s="4" customFormat="1" ht="14.25" customHeight="1" x14ac:dyDescent="0.3"/>
    <row r="494" s="4" customFormat="1" ht="14.25" customHeight="1" x14ac:dyDescent="0.3"/>
    <row r="495" s="4" customFormat="1" ht="14.25" customHeight="1" x14ac:dyDescent="0.3"/>
    <row r="496" s="4" customFormat="1" ht="14.25" customHeight="1" x14ac:dyDescent="0.3"/>
    <row r="497" s="4" customFormat="1" ht="14.25" customHeight="1" x14ac:dyDescent="0.3"/>
    <row r="498" s="4" customFormat="1" ht="14.25" customHeight="1" x14ac:dyDescent="0.3"/>
    <row r="499" s="4" customFormat="1" ht="14.25" customHeight="1" x14ac:dyDescent="0.3"/>
    <row r="500" s="4" customFormat="1" ht="14.25" customHeight="1" x14ac:dyDescent="0.3"/>
    <row r="501" s="4" customFormat="1" ht="14.25" customHeight="1" x14ac:dyDescent="0.3"/>
    <row r="502" s="4" customFormat="1" ht="14.25" customHeight="1" x14ac:dyDescent="0.3"/>
    <row r="503" s="4" customFormat="1" ht="14.25" customHeight="1" x14ac:dyDescent="0.3"/>
    <row r="504" s="4" customFormat="1" ht="14.25" customHeight="1" x14ac:dyDescent="0.3"/>
    <row r="505" s="4" customFormat="1" ht="14.25" customHeight="1" x14ac:dyDescent="0.3"/>
    <row r="506" s="4" customFormat="1" ht="14.25" customHeight="1" x14ac:dyDescent="0.3"/>
    <row r="507" s="4" customFormat="1" ht="14.25" customHeight="1" x14ac:dyDescent="0.3"/>
    <row r="508" s="4" customFormat="1" ht="14.25" customHeight="1" x14ac:dyDescent="0.3"/>
    <row r="509" s="4" customFormat="1" ht="14.25" customHeight="1" x14ac:dyDescent="0.3"/>
    <row r="510" s="4" customFormat="1" ht="14.25" customHeight="1" x14ac:dyDescent="0.3"/>
    <row r="511" s="4" customFormat="1" ht="14.25" customHeight="1" x14ac:dyDescent="0.3"/>
    <row r="512" s="4" customFormat="1" ht="14.25" customHeight="1" x14ac:dyDescent="0.3"/>
    <row r="513" s="4" customFormat="1" ht="14.25" customHeight="1" x14ac:dyDescent="0.3"/>
    <row r="514" s="4" customFormat="1" ht="14.25" customHeight="1" x14ac:dyDescent="0.3"/>
    <row r="515" s="4" customFormat="1" ht="14.25" customHeight="1" x14ac:dyDescent="0.3"/>
    <row r="516" s="4" customFormat="1" ht="14.25" customHeight="1" x14ac:dyDescent="0.3"/>
    <row r="517" s="4" customFormat="1" ht="14.25" customHeight="1" x14ac:dyDescent="0.3"/>
    <row r="518" s="4" customFormat="1" ht="14.25" customHeight="1" x14ac:dyDescent="0.3"/>
    <row r="519" s="4" customFormat="1" ht="14.25" customHeight="1" x14ac:dyDescent="0.3"/>
    <row r="520" s="4" customFormat="1" ht="14.25" customHeight="1" x14ac:dyDescent="0.3"/>
    <row r="521" s="4" customFormat="1" ht="14.25" customHeight="1" x14ac:dyDescent="0.3"/>
    <row r="522" s="4" customFormat="1" ht="14.25" customHeight="1" x14ac:dyDescent="0.3"/>
    <row r="523" s="4" customFormat="1" ht="14.25" customHeight="1" x14ac:dyDescent="0.3"/>
    <row r="524" s="4" customFormat="1" ht="14.25" customHeight="1" x14ac:dyDescent="0.3"/>
    <row r="525" s="4" customFormat="1" ht="14.25" customHeight="1" x14ac:dyDescent="0.3"/>
    <row r="526" s="4" customFormat="1" ht="14.25" customHeight="1" x14ac:dyDescent="0.3"/>
    <row r="527" s="4" customFormat="1" ht="14.25" customHeight="1" x14ac:dyDescent="0.3"/>
    <row r="528" s="4" customFormat="1" ht="14.25" customHeight="1" x14ac:dyDescent="0.3"/>
    <row r="529" s="4" customFormat="1" ht="14.25" customHeight="1" x14ac:dyDescent="0.3"/>
    <row r="530" s="4" customFormat="1" ht="14.25" customHeight="1" x14ac:dyDescent="0.3"/>
    <row r="531" s="4" customFormat="1" ht="14.25" customHeight="1" x14ac:dyDescent="0.3"/>
    <row r="532" s="4" customFormat="1" ht="14.25" customHeight="1" x14ac:dyDescent="0.3"/>
    <row r="533" s="4" customFormat="1" ht="14.25" customHeight="1" x14ac:dyDescent="0.3"/>
    <row r="534" s="4" customFormat="1" ht="14.25" customHeight="1" x14ac:dyDescent="0.3"/>
    <row r="535" s="4" customFormat="1" ht="14.25" customHeight="1" x14ac:dyDescent="0.3"/>
    <row r="536" s="4" customFormat="1" ht="14.25" customHeight="1" x14ac:dyDescent="0.3"/>
    <row r="537" s="4" customFormat="1" ht="14.25" customHeight="1" x14ac:dyDescent="0.3"/>
    <row r="538" s="4" customFormat="1" ht="14.25" customHeight="1" x14ac:dyDescent="0.3"/>
    <row r="539" s="4" customFormat="1" ht="14.25" customHeight="1" x14ac:dyDescent="0.3"/>
    <row r="540" s="4" customFormat="1" ht="14.25" customHeight="1" x14ac:dyDescent="0.3"/>
    <row r="541" s="4" customFormat="1" ht="14.25" customHeight="1" x14ac:dyDescent="0.3"/>
    <row r="542" s="4" customFormat="1" ht="14.25" customHeight="1" x14ac:dyDescent="0.3"/>
    <row r="543" s="4" customFormat="1" ht="14.25" customHeight="1" x14ac:dyDescent="0.3"/>
    <row r="544" s="4" customFormat="1" ht="14.25" customHeight="1" x14ac:dyDescent="0.3"/>
    <row r="545" s="4" customFormat="1" ht="14.25" customHeight="1" x14ac:dyDescent="0.3"/>
    <row r="546" s="4" customFormat="1" ht="14.25" customHeight="1" x14ac:dyDescent="0.3"/>
    <row r="547" s="4" customFormat="1" ht="14.25" customHeight="1" x14ac:dyDescent="0.3"/>
    <row r="548" s="4" customFormat="1" ht="14.25" customHeight="1" x14ac:dyDescent="0.3"/>
    <row r="549" s="4" customFormat="1" ht="14.25" customHeight="1" x14ac:dyDescent="0.3"/>
    <row r="550" s="4" customFormat="1" ht="14.25" customHeight="1" x14ac:dyDescent="0.3"/>
    <row r="551" s="4" customFormat="1" ht="14.25" customHeight="1" x14ac:dyDescent="0.3"/>
    <row r="552" s="4" customFormat="1" ht="14.25" customHeight="1" x14ac:dyDescent="0.3"/>
    <row r="553" s="4" customFormat="1" ht="14.25" customHeight="1" x14ac:dyDescent="0.3"/>
    <row r="554" s="4" customFormat="1" ht="14.25" customHeight="1" x14ac:dyDescent="0.3"/>
    <row r="555" s="4" customFormat="1" ht="14.25" customHeight="1" x14ac:dyDescent="0.3"/>
    <row r="556" s="4" customFormat="1" ht="14.25" customHeight="1" x14ac:dyDescent="0.3"/>
    <row r="557" s="4" customFormat="1" ht="14.25" customHeight="1" x14ac:dyDescent="0.3"/>
    <row r="558" s="4" customFormat="1" ht="14.25" customHeight="1" x14ac:dyDescent="0.3"/>
    <row r="559" s="4" customFormat="1" ht="14.25" customHeight="1" x14ac:dyDescent="0.3"/>
    <row r="560" s="4" customFormat="1" ht="14.25" customHeight="1" x14ac:dyDescent="0.3"/>
    <row r="561" s="4" customFormat="1" ht="14.25" customHeight="1" x14ac:dyDescent="0.3"/>
    <row r="562" s="4" customFormat="1" ht="14.25" customHeight="1" x14ac:dyDescent="0.3"/>
    <row r="563" s="4" customFormat="1" ht="14.25" customHeight="1" x14ac:dyDescent="0.3"/>
    <row r="564" s="4" customFormat="1" ht="14.25" customHeight="1" x14ac:dyDescent="0.3"/>
    <row r="565" s="4" customFormat="1" ht="14.25" customHeight="1" x14ac:dyDescent="0.3"/>
    <row r="566" s="4" customFormat="1" ht="14.25" customHeight="1" x14ac:dyDescent="0.3"/>
    <row r="567" s="4" customFormat="1" ht="14.25" customHeight="1" x14ac:dyDescent="0.3"/>
    <row r="568" s="4" customFormat="1" ht="14.25" customHeight="1" x14ac:dyDescent="0.3"/>
    <row r="569" s="4" customFormat="1" ht="14.25" customHeight="1" x14ac:dyDescent="0.3"/>
    <row r="570" s="4" customFormat="1" ht="14.25" customHeight="1" x14ac:dyDescent="0.3"/>
    <row r="571" s="4" customFormat="1" ht="14.25" customHeight="1" x14ac:dyDescent="0.3"/>
    <row r="572" s="4" customFormat="1" ht="14.25" customHeight="1" x14ac:dyDescent="0.3"/>
    <row r="573" s="4" customFormat="1" ht="14.25" customHeight="1" x14ac:dyDescent="0.3"/>
    <row r="574" s="4" customFormat="1" ht="14.25" customHeight="1" x14ac:dyDescent="0.3"/>
    <row r="575" s="4" customFormat="1" ht="14.25" customHeight="1" x14ac:dyDescent="0.3"/>
    <row r="576" s="4" customFormat="1" ht="14.25" customHeight="1" x14ac:dyDescent="0.3"/>
    <row r="577" s="4" customFormat="1" ht="14.25" customHeight="1" x14ac:dyDescent="0.3"/>
    <row r="578" s="4" customFormat="1" ht="14.25" customHeight="1" x14ac:dyDescent="0.3"/>
    <row r="579" s="4" customFormat="1" ht="14.25" customHeight="1" x14ac:dyDescent="0.3"/>
    <row r="580" s="4" customFormat="1" ht="14.25" customHeight="1" x14ac:dyDescent="0.3"/>
    <row r="581" s="4" customFormat="1" ht="14.25" customHeight="1" x14ac:dyDescent="0.3"/>
    <row r="582" s="4" customFormat="1" ht="14.25" customHeight="1" x14ac:dyDescent="0.3"/>
    <row r="583" s="4" customFormat="1" ht="14.25" customHeight="1" x14ac:dyDescent="0.3"/>
    <row r="584" s="4" customFormat="1" ht="14.25" customHeight="1" x14ac:dyDescent="0.3"/>
    <row r="585" s="4" customFormat="1" ht="14.25" customHeight="1" x14ac:dyDescent="0.3"/>
    <row r="586" s="4" customFormat="1" ht="14.25" customHeight="1" x14ac:dyDescent="0.3"/>
    <row r="587" s="4" customFormat="1" ht="14.25" customHeight="1" x14ac:dyDescent="0.3"/>
    <row r="588" s="4" customFormat="1" ht="14.25" customHeight="1" x14ac:dyDescent="0.3"/>
    <row r="589" s="4" customFormat="1" ht="14.25" customHeight="1" x14ac:dyDescent="0.3"/>
    <row r="590" s="4" customFormat="1" ht="14.25" customHeight="1" x14ac:dyDescent="0.3"/>
    <row r="591" s="4" customFormat="1" ht="14.25" customHeight="1" x14ac:dyDescent="0.3"/>
    <row r="592" s="4" customFormat="1" ht="14.25" customHeight="1" x14ac:dyDescent="0.3"/>
    <row r="593" s="4" customFormat="1" ht="14.25" customHeight="1" x14ac:dyDescent="0.3"/>
    <row r="594" s="4" customFormat="1" ht="14.25" customHeight="1" x14ac:dyDescent="0.3"/>
    <row r="595" s="4" customFormat="1" ht="14.25" customHeight="1" x14ac:dyDescent="0.3"/>
    <row r="596" s="4" customFormat="1" ht="14.25" customHeight="1" x14ac:dyDescent="0.3"/>
    <row r="597" s="4" customFormat="1" ht="14.25" customHeight="1" x14ac:dyDescent="0.3"/>
    <row r="598" s="4" customFormat="1" ht="14.25" customHeight="1" x14ac:dyDescent="0.3"/>
    <row r="599" s="4" customFormat="1" ht="14.25" customHeight="1" x14ac:dyDescent="0.3"/>
    <row r="600" s="4" customFormat="1" ht="14.25" customHeight="1" x14ac:dyDescent="0.3"/>
    <row r="601" s="4" customFormat="1" ht="14.25" customHeight="1" x14ac:dyDescent="0.3"/>
    <row r="602" s="4" customFormat="1" ht="14.25" customHeight="1" x14ac:dyDescent="0.3"/>
    <row r="603" s="4" customFormat="1" ht="14.25" customHeight="1" x14ac:dyDescent="0.3"/>
    <row r="604" s="4" customFormat="1" ht="14.25" customHeight="1" x14ac:dyDescent="0.3"/>
    <row r="605" s="4" customFormat="1" ht="14.25" customHeight="1" x14ac:dyDescent="0.3"/>
    <row r="606" s="4" customFormat="1" ht="14.25" customHeight="1" x14ac:dyDescent="0.3"/>
    <row r="607" s="4" customFormat="1" ht="14.25" customHeight="1" x14ac:dyDescent="0.3"/>
    <row r="608" s="4" customFormat="1" ht="14.25" customHeight="1" x14ac:dyDescent="0.3"/>
    <row r="609" s="4" customFormat="1" ht="14.25" customHeight="1" x14ac:dyDescent="0.3"/>
    <row r="610" s="4" customFormat="1" ht="14.25" customHeight="1" x14ac:dyDescent="0.3"/>
    <row r="611" s="4" customFormat="1" ht="14.25" customHeight="1" x14ac:dyDescent="0.3"/>
    <row r="612" s="4" customFormat="1" ht="14.25" customHeight="1" x14ac:dyDescent="0.3"/>
    <row r="613" s="4" customFormat="1" ht="14.25" customHeight="1" x14ac:dyDescent="0.3"/>
    <row r="614" s="4" customFormat="1" ht="14.25" customHeight="1" x14ac:dyDescent="0.3"/>
    <row r="615" s="4" customFormat="1" ht="14.25" customHeight="1" x14ac:dyDescent="0.3"/>
    <row r="616" s="4" customFormat="1" ht="14.25" customHeight="1" x14ac:dyDescent="0.3"/>
    <row r="617" s="4" customFormat="1" ht="14.25" customHeight="1" x14ac:dyDescent="0.3"/>
    <row r="618" s="4" customFormat="1" ht="14.25" customHeight="1" x14ac:dyDescent="0.3"/>
    <row r="619" s="4" customFormat="1" ht="14.25" customHeight="1" x14ac:dyDescent="0.3"/>
    <row r="620" s="4" customFormat="1" ht="14.25" customHeight="1" x14ac:dyDescent="0.3"/>
    <row r="621" s="4" customFormat="1" ht="14.25" customHeight="1" x14ac:dyDescent="0.3"/>
    <row r="622" s="4" customFormat="1" ht="14.25" customHeight="1" x14ac:dyDescent="0.3"/>
    <row r="623" s="4" customFormat="1" ht="14.25" customHeight="1" x14ac:dyDescent="0.3"/>
    <row r="624" s="4" customFormat="1" ht="14.25" customHeight="1" x14ac:dyDescent="0.3"/>
    <row r="625" s="4" customFormat="1" ht="14.25" customHeight="1" x14ac:dyDescent="0.3"/>
    <row r="626" s="4" customFormat="1" ht="14.25" customHeight="1" x14ac:dyDescent="0.3"/>
    <row r="627" s="4" customFormat="1" ht="14.25" customHeight="1" x14ac:dyDescent="0.3"/>
    <row r="628" s="4" customFormat="1" ht="14.25" customHeight="1" x14ac:dyDescent="0.3"/>
    <row r="629" s="4" customFormat="1" ht="14.25" customHeight="1" x14ac:dyDescent="0.3"/>
    <row r="630" s="4" customFormat="1" ht="14.25" customHeight="1" x14ac:dyDescent="0.3"/>
    <row r="631" s="4" customFormat="1" ht="14.25" customHeight="1" x14ac:dyDescent="0.3"/>
    <row r="632" s="4" customFormat="1" ht="14.25" customHeight="1" x14ac:dyDescent="0.3"/>
    <row r="633" s="4" customFormat="1" ht="14.25" customHeight="1" x14ac:dyDescent="0.3"/>
    <row r="634" s="4" customFormat="1" ht="14.25" customHeight="1" x14ac:dyDescent="0.3"/>
    <row r="635" s="4" customFormat="1" ht="14.25" customHeight="1" x14ac:dyDescent="0.3"/>
    <row r="636" s="4" customFormat="1" ht="14.25" customHeight="1" x14ac:dyDescent="0.3"/>
    <row r="637" s="4" customFormat="1" ht="14.25" customHeight="1" x14ac:dyDescent="0.3"/>
    <row r="638" s="4" customFormat="1" ht="14.25" customHeight="1" x14ac:dyDescent="0.3"/>
    <row r="639" s="4" customFormat="1" ht="14.25" customHeight="1" x14ac:dyDescent="0.3"/>
    <row r="640" s="4" customFormat="1" ht="14.25" customHeight="1" x14ac:dyDescent="0.3"/>
    <row r="641" s="4" customFormat="1" ht="14.25" customHeight="1" x14ac:dyDescent="0.3"/>
    <row r="642" s="4" customFormat="1" ht="14.25" customHeight="1" x14ac:dyDescent="0.3"/>
    <row r="643" s="4" customFormat="1" ht="14.25" customHeight="1" x14ac:dyDescent="0.3"/>
    <row r="644" s="4" customFormat="1" ht="14.25" customHeight="1" x14ac:dyDescent="0.3"/>
    <row r="645" s="4" customFormat="1" ht="14.25" customHeight="1" x14ac:dyDescent="0.3"/>
    <row r="646" s="4" customFormat="1" ht="14.25" customHeight="1" x14ac:dyDescent="0.3"/>
    <row r="647" s="4" customFormat="1" ht="14.25" customHeight="1" x14ac:dyDescent="0.3"/>
    <row r="648" s="4" customFormat="1" ht="14.25" customHeight="1" x14ac:dyDescent="0.3"/>
    <row r="649" s="4" customFormat="1" ht="14.25" customHeight="1" x14ac:dyDescent="0.3"/>
    <row r="650" s="4" customFormat="1" ht="14.25" customHeight="1" x14ac:dyDescent="0.3"/>
    <row r="651" s="4" customFormat="1" ht="14.25" customHeight="1" x14ac:dyDescent="0.3"/>
    <row r="652" s="4" customFormat="1" ht="14.25" customHeight="1" x14ac:dyDescent="0.3"/>
    <row r="653" s="4" customFormat="1" ht="14.25" customHeight="1" x14ac:dyDescent="0.3"/>
    <row r="654" s="4" customFormat="1" ht="14.25" customHeight="1" x14ac:dyDescent="0.3"/>
    <row r="655" s="4" customFormat="1" ht="14.25" customHeight="1" x14ac:dyDescent="0.3"/>
    <row r="656" s="4" customFormat="1" ht="14.25" customHeight="1" x14ac:dyDescent="0.3"/>
    <row r="657" s="4" customFormat="1" ht="14.25" customHeight="1" x14ac:dyDescent="0.3"/>
    <row r="658" s="4" customFormat="1" ht="14.25" customHeight="1" x14ac:dyDescent="0.3"/>
    <row r="659" s="4" customFormat="1" ht="14.25" customHeight="1" x14ac:dyDescent="0.3"/>
    <row r="660" s="4" customFormat="1" ht="14.25" customHeight="1" x14ac:dyDescent="0.3"/>
    <row r="661" s="4" customFormat="1" ht="14.25" customHeight="1" x14ac:dyDescent="0.3"/>
    <row r="662" s="4" customFormat="1" ht="14.25" customHeight="1" x14ac:dyDescent="0.3"/>
    <row r="663" s="4" customFormat="1" ht="14.25" customHeight="1" x14ac:dyDescent="0.3"/>
    <row r="664" s="4" customFormat="1" ht="14.25" customHeight="1" x14ac:dyDescent="0.3"/>
    <row r="665" s="4" customFormat="1" ht="14.25" customHeight="1" x14ac:dyDescent="0.3"/>
    <row r="666" s="4" customFormat="1" ht="14.25" customHeight="1" x14ac:dyDescent="0.3"/>
    <row r="667" s="4" customFormat="1" ht="14.25" customHeight="1" x14ac:dyDescent="0.3"/>
    <row r="668" s="4" customFormat="1" ht="14.25" customHeight="1" x14ac:dyDescent="0.3"/>
    <row r="669" s="4" customFormat="1" ht="14.25" customHeight="1" x14ac:dyDescent="0.3"/>
    <row r="670" s="4" customFormat="1" ht="14.25" customHeight="1" x14ac:dyDescent="0.3"/>
    <row r="671" s="4" customFormat="1" ht="14.25" customHeight="1" x14ac:dyDescent="0.3"/>
    <row r="672" s="4" customFormat="1" ht="14.25" customHeight="1" x14ac:dyDescent="0.3"/>
    <row r="673" s="4" customFormat="1" ht="14.25" customHeight="1" x14ac:dyDescent="0.3"/>
    <row r="674" s="4" customFormat="1" ht="14.25" customHeight="1" x14ac:dyDescent="0.3"/>
    <row r="675" s="4" customFormat="1" ht="14.25" customHeight="1" x14ac:dyDescent="0.3"/>
    <row r="676" s="4" customFormat="1" ht="14.25" customHeight="1" x14ac:dyDescent="0.3"/>
    <row r="677" s="4" customFormat="1" ht="14.25" customHeight="1" x14ac:dyDescent="0.3"/>
    <row r="678" s="4" customFormat="1" ht="14.25" customHeight="1" x14ac:dyDescent="0.3"/>
    <row r="679" s="4" customFormat="1" ht="14.25" customHeight="1" x14ac:dyDescent="0.3"/>
    <row r="680" s="4" customFormat="1" ht="14.25" customHeight="1" x14ac:dyDescent="0.3"/>
    <row r="681" s="4" customFormat="1" ht="14.25" customHeight="1" x14ac:dyDescent="0.3"/>
    <row r="682" s="4" customFormat="1" ht="14.25" customHeight="1" x14ac:dyDescent="0.3"/>
    <row r="683" s="4" customFormat="1" ht="14.25" customHeight="1" x14ac:dyDescent="0.3"/>
    <row r="684" s="4" customFormat="1" ht="14.25" customHeight="1" x14ac:dyDescent="0.3"/>
    <row r="685" s="4" customFormat="1" ht="14.25" customHeight="1" x14ac:dyDescent="0.3"/>
    <row r="686" s="4" customFormat="1" ht="14.25" customHeight="1" x14ac:dyDescent="0.3"/>
    <row r="687" s="4" customFormat="1" ht="14.25" customHeight="1" x14ac:dyDescent="0.3"/>
    <row r="688" s="4" customFormat="1" ht="14.25" customHeight="1" x14ac:dyDescent="0.3"/>
    <row r="689" s="4" customFormat="1" ht="14.25" customHeight="1" x14ac:dyDescent="0.3"/>
    <row r="690" s="4" customFormat="1" ht="14.25" customHeight="1" x14ac:dyDescent="0.3"/>
    <row r="691" s="4" customFormat="1" ht="14.25" customHeight="1" x14ac:dyDescent="0.3"/>
    <row r="692" s="4" customFormat="1" ht="14.25" customHeight="1" x14ac:dyDescent="0.3"/>
    <row r="693" s="4" customFormat="1" ht="14.25" customHeight="1" x14ac:dyDescent="0.3"/>
    <row r="694" s="4" customFormat="1" ht="14.25" customHeight="1" x14ac:dyDescent="0.3"/>
    <row r="695" s="4" customFormat="1" ht="14.25" customHeight="1" x14ac:dyDescent="0.3"/>
    <row r="696" s="4" customFormat="1" ht="14.25" customHeight="1" x14ac:dyDescent="0.3"/>
    <row r="697" s="4" customFormat="1" ht="14.25" customHeight="1" x14ac:dyDescent="0.3"/>
    <row r="698" s="4" customFormat="1" ht="14.25" customHeight="1" x14ac:dyDescent="0.3"/>
    <row r="699" s="4" customFormat="1" ht="14.25" customHeight="1" x14ac:dyDescent="0.3"/>
    <row r="700" s="4" customFormat="1" ht="14.25" customHeight="1" x14ac:dyDescent="0.3"/>
    <row r="701" s="4" customFormat="1" ht="14.25" customHeight="1" x14ac:dyDescent="0.3"/>
    <row r="702" s="4" customFormat="1" ht="14.25" customHeight="1" x14ac:dyDescent="0.3"/>
    <row r="703" s="4" customFormat="1" ht="14.25" customHeight="1" x14ac:dyDescent="0.3"/>
    <row r="704" s="4" customFormat="1" ht="14.25" customHeight="1" x14ac:dyDescent="0.3"/>
    <row r="705" s="4" customFormat="1" ht="14.25" customHeight="1" x14ac:dyDescent="0.3"/>
    <row r="706" s="4" customFormat="1" ht="14.25" customHeight="1" x14ac:dyDescent="0.3"/>
    <row r="707" s="4" customFormat="1" ht="14.25" customHeight="1" x14ac:dyDescent="0.3"/>
    <row r="708" s="4" customFormat="1" ht="14.25" customHeight="1" x14ac:dyDescent="0.3"/>
    <row r="709" s="4" customFormat="1" ht="14.25" customHeight="1" x14ac:dyDescent="0.3"/>
    <row r="710" s="4" customFormat="1" ht="14.25" customHeight="1" x14ac:dyDescent="0.3"/>
    <row r="711" s="4" customFormat="1" ht="14.25" customHeight="1" x14ac:dyDescent="0.3"/>
    <row r="712" s="4" customFormat="1" ht="14.25" customHeight="1" x14ac:dyDescent="0.3"/>
    <row r="713" s="4" customFormat="1" ht="14.25" customHeight="1" x14ac:dyDescent="0.3"/>
    <row r="714" s="4" customFormat="1" ht="14.25" customHeight="1" x14ac:dyDescent="0.3"/>
    <row r="715" s="4" customFormat="1" ht="14.25" customHeight="1" x14ac:dyDescent="0.3"/>
    <row r="716" s="4" customFormat="1" ht="14.25" customHeight="1" x14ac:dyDescent="0.3"/>
    <row r="717" s="4" customFormat="1" ht="14.25" customHeight="1" x14ac:dyDescent="0.3"/>
    <row r="718" s="4" customFormat="1" ht="14.25" customHeight="1" x14ac:dyDescent="0.3"/>
    <row r="719" s="4" customFormat="1" ht="14.25" customHeight="1" x14ac:dyDescent="0.3"/>
    <row r="720" s="4" customFormat="1" ht="14.25" customHeight="1" x14ac:dyDescent="0.3"/>
    <row r="721" s="4" customFormat="1" ht="14.25" customHeight="1" x14ac:dyDescent="0.3"/>
    <row r="722" s="4" customFormat="1" ht="14.25" customHeight="1" x14ac:dyDescent="0.3"/>
    <row r="723" s="4" customFormat="1" ht="14.25" customHeight="1" x14ac:dyDescent="0.3"/>
    <row r="724" s="4" customFormat="1" ht="14.25" customHeight="1" x14ac:dyDescent="0.3"/>
    <row r="725" s="4" customFormat="1" ht="14.25" customHeight="1" x14ac:dyDescent="0.3"/>
    <row r="726" s="4" customFormat="1" ht="14.25" customHeight="1" x14ac:dyDescent="0.3"/>
    <row r="727" s="4" customFormat="1" ht="14.25" customHeight="1" x14ac:dyDescent="0.3"/>
    <row r="728" s="4" customFormat="1" ht="14.25" customHeight="1" x14ac:dyDescent="0.3"/>
    <row r="729" s="4" customFormat="1" ht="14.25" customHeight="1" x14ac:dyDescent="0.3"/>
    <row r="730" s="4" customFormat="1" ht="14.25" customHeight="1" x14ac:dyDescent="0.3"/>
    <row r="731" s="4" customFormat="1" ht="14.25" customHeight="1" x14ac:dyDescent="0.3"/>
    <row r="732" s="4" customFormat="1" ht="14.25" customHeight="1" x14ac:dyDescent="0.3"/>
    <row r="733" s="4" customFormat="1" ht="14.25" customHeight="1" x14ac:dyDescent="0.3"/>
    <row r="734" s="4" customFormat="1" ht="14.25" customHeight="1" x14ac:dyDescent="0.3"/>
    <row r="735" s="4" customFormat="1" ht="14.25" customHeight="1" x14ac:dyDescent="0.3"/>
    <row r="736" s="4" customFormat="1" ht="14.25" customHeight="1" x14ac:dyDescent="0.3"/>
    <row r="737" s="4" customFormat="1" ht="14.25" customHeight="1" x14ac:dyDescent="0.3"/>
    <row r="738" s="4" customFormat="1" ht="14.25" customHeight="1" x14ac:dyDescent="0.3"/>
    <row r="739" s="4" customFormat="1" ht="14.25" customHeight="1" x14ac:dyDescent="0.3"/>
    <row r="740" s="4" customFormat="1" ht="14.25" customHeight="1" x14ac:dyDescent="0.3"/>
    <row r="741" s="4" customFormat="1" ht="14.25" customHeight="1" x14ac:dyDescent="0.3"/>
    <row r="742" s="4" customFormat="1" ht="14.25" customHeight="1" x14ac:dyDescent="0.3"/>
    <row r="743" s="4" customFormat="1" ht="14.25" customHeight="1" x14ac:dyDescent="0.3"/>
    <row r="744" s="4" customFormat="1" ht="14.25" customHeight="1" x14ac:dyDescent="0.3"/>
    <row r="745" s="4" customFormat="1" ht="14.25" customHeight="1" x14ac:dyDescent="0.3"/>
    <row r="746" s="4" customFormat="1" ht="14.25" customHeight="1" x14ac:dyDescent="0.3"/>
    <row r="747" s="4" customFormat="1" ht="14.25" customHeight="1" x14ac:dyDescent="0.3"/>
    <row r="748" s="4" customFormat="1" ht="14.25" customHeight="1" x14ac:dyDescent="0.3"/>
    <row r="749" s="4" customFormat="1" ht="14.25" customHeight="1" x14ac:dyDescent="0.3"/>
    <row r="750" s="4" customFormat="1" ht="14.25" customHeight="1" x14ac:dyDescent="0.3"/>
    <row r="751" s="4" customFormat="1" ht="14.25" customHeight="1" x14ac:dyDescent="0.3"/>
    <row r="752" s="4" customFormat="1" ht="14.25" customHeight="1" x14ac:dyDescent="0.3"/>
    <row r="753" s="4" customFormat="1" ht="14.25" customHeight="1" x14ac:dyDescent="0.3"/>
    <row r="754" s="4" customFormat="1" ht="14.25" customHeight="1" x14ac:dyDescent="0.3"/>
    <row r="755" s="4" customFormat="1" ht="14.25" customHeight="1" x14ac:dyDescent="0.3"/>
    <row r="756" s="4" customFormat="1" ht="14.25" customHeight="1" x14ac:dyDescent="0.3"/>
    <row r="757" s="4" customFormat="1" ht="14.25" customHeight="1" x14ac:dyDescent="0.3"/>
    <row r="758" s="4" customFormat="1" ht="14.25" customHeight="1" x14ac:dyDescent="0.3"/>
    <row r="759" s="4" customFormat="1" ht="14.25" customHeight="1" x14ac:dyDescent="0.3"/>
    <row r="760" s="4" customFormat="1" ht="14.25" customHeight="1" x14ac:dyDescent="0.3"/>
    <row r="761" s="4" customFormat="1" ht="14.25" customHeight="1" x14ac:dyDescent="0.3"/>
    <row r="762" s="4" customFormat="1" ht="14.25" customHeight="1" x14ac:dyDescent="0.3"/>
    <row r="763" s="4" customFormat="1" ht="14.25" customHeight="1" x14ac:dyDescent="0.3"/>
    <row r="764" s="4" customFormat="1" ht="14.25" customHeight="1" x14ac:dyDescent="0.3"/>
    <row r="765" s="4" customFormat="1" ht="14.25" customHeight="1" x14ac:dyDescent="0.3"/>
    <row r="766" s="4" customFormat="1" ht="14.25" customHeight="1" x14ac:dyDescent="0.3"/>
    <row r="767" s="4" customFormat="1" ht="14.25" customHeight="1" x14ac:dyDescent="0.3"/>
    <row r="768" s="4" customFormat="1" ht="14.25" customHeight="1" x14ac:dyDescent="0.3"/>
    <row r="769" s="4" customFormat="1" ht="14.25" customHeight="1" x14ac:dyDescent="0.3"/>
    <row r="770" s="4" customFormat="1" ht="14.25" customHeight="1" x14ac:dyDescent="0.3"/>
    <row r="771" s="4" customFormat="1" ht="14.25" customHeight="1" x14ac:dyDescent="0.3"/>
    <row r="772" s="4" customFormat="1" ht="14.25" customHeight="1" x14ac:dyDescent="0.3"/>
    <row r="773" s="4" customFormat="1" ht="14.25" customHeight="1" x14ac:dyDescent="0.3"/>
    <row r="774" s="4" customFormat="1" ht="14.25" customHeight="1" x14ac:dyDescent="0.3"/>
    <row r="775" s="4" customFormat="1" ht="14.25" customHeight="1" x14ac:dyDescent="0.3"/>
    <row r="776" s="4" customFormat="1" ht="14.25" customHeight="1" x14ac:dyDescent="0.3"/>
    <row r="777" s="4" customFormat="1" ht="14.25" customHeight="1" x14ac:dyDescent="0.3"/>
    <row r="778" s="4" customFormat="1" ht="14.25" customHeight="1" x14ac:dyDescent="0.3"/>
    <row r="779" s="4" customFormat="1" ht="14.25" customHeight="1" x14ac:dyDescent="0.3"/>
    <row r="780" s="4" customFormat="1" ht="14.25" customHeight="1" x14ac:dyDescent="0.3"/>
    <row r="781" s="4" customFormat="1" ht="14.25" customHeight="1" x14ac:dyDescent="0.3"/>
    <row r="782" s="4" customFormat="1" ht="14.25" customHeight="1" x14ac:dyDescent="0.3"/>
    <row r="783" s="4" customFormat="1" ht="14.25" customHeight="1" x14ac:dyDescent="0.3"/>
    <row r="784" s="4" customFormat="1" ht="14.25" customHeight="1" x14ac:dyDescent="0.3"/>
    <row r="785" s="4" customFormat="1" ht="14.25" customHeight="1" x14ac:dyDescent="0.3"/>
    <row r="786" s="4" customFormat="1" ht="14.25" customHeight="1" x14ac:dyDescent="0.3"/>
    <row r="787" s="4" customFormat="1" ht="14.25" customHeight="1" x14ac:dyDescent="0.3"/>
    <row r="788" s="4" customFormat="1" ht="14.25" customHeight="1" x14ac:dyDescent="0.3"/>
    <row r="789" s="4" customFormat="1" ht="14.25" customHeight="1" x14ac:dyDescent="0.3"/>
    <row r="790" s="4" customFormat="1" ht="14.25" customHeight="1" x14ac:dyDescent="0.3"/>
    <row r="791" s="4" customFormat="1" ht="14.25" customHeight="1" x14ac:dyDescent="0.3"/>
    <row r="792" s="4" customFormat="1" ht="14.25" customHeight="1" x14ac:dyDescent="0.3"/>
    <row r="793" s="4" customFormat="1" ht="14.25" customHeight="1" x14ac:dyDescent="0.3"/>
    <row r="794" s="4" customFormat="1" ht="14.25" customHeight="1" x14ac:dyDescent="0.3"/>
    <row r="795" s="4" customFormat="1" ht="14.25" customHeight="1" x14ac:dyDescent="0.3"/>
    <row r="796" s="4" customFormat="1" ht="14.25" customHeight="1" x14ac:dyDescent="0.3"/>
    <row r="797" s="4" customFormat="1" ht="14.25" customHeight="1" x14ac:dyDescent="0.3"/>
    <row r="798" s="4" customFormat="1" ht="14.25" customHeight="1" x14ac:dyDescent="0.3"/>
    <row r="799" s="4" customFormat="1" ht="14.25" customHeight="1" x14ac:dyDescent="0.3"/>
    <row r="800" s="4" customFormat="1" ht="14.25" customHeight="1" x14ac:dyDescent="0.3"/>
    <row r="801" s="4" customFormat="1" ht="14.25" customHeight="1" x14ac:dyDescent="0.3"/>
    <row r="802" s="4" customFormat="1" ht="14.25" customHeight="1" x14ac:dyDescent="0.3"/>
    <row r="803" s="4" customFormat="1" ht="14.25" customHeight="1" x14ac:dyDescent="0.3"/>
    <row r="804" s="4" customFormat="1" ht="14.25" customHeight="1" x14ac:dyDescent="0.3"/>
    <row r="805" s="4" customFormat="1" ht="14.25" customHeight="1" x14ac:dyDescent="0.3"/>
    <row r="806" s="4" customFormat="1" ht="14.25" customHeight="1" x14ac:dyDescent="0.3"/>
    <row r="807" s="4" customFormat="1" ht="14.25" customHeight="1" x14ac:dyDescent="0.3"/>
    <row r="808" s="4" customFormat="1" ht="14.25" customHeight="1" x14ac:dyDescent="0.3"/>
    <row r="809" s="4" customFormat="1" ht="14.25" customHeight="1" x14ac:dyDescent="0.3"/>
    <row r="810" s="4" customFormat="1" ht="14.25" customHeight="1" x14ac:dyDescent="0.3"/>
    <row r="811" s="4" customFormat="1" ht="14.25" customHeight="1" x14ac:dyDescent="0.3"/>
    <row r="812" s="4" customFormat="1" ht="14.25" customHeight="1" x14ac:dyDescent="0.3"/>
    <row r="813" s="4" customFormat="1" ht="14.25" customHeight="1" x14ac:dyDescent="0.3"/>
    <row r="814" s="4" customFormat="1" ht="14.25" customHeight="1" x14ac:dyDescent="0.3"/>
    <row r="815" s="4" customFormat="1" ht="14.25" customHeight="1" x14ac:dyDescent="0.3"/>
    <row r="816" s="4" customFormat="1" ht="14.25" customHeight="1" x14ac:dyDescent="0.3"/>
    <row r="817" s="4" customFormat="1" ht="14.25" customHeight="1" x14ac:dyDescent="0.3"/>
    <row r="818" s="4" customFormat="1" ht="14.25" customHeight="1" x14ac:dyDescent="0.3"/>
    <row r="819" s="4" customFormat="1" ht="14.25" customHeight="1" x14ac:dyDescent="0.3"/>
    <row r="820" s="4" customFormat="1" ht="14.25" customHeight="1" x14ac:dyDescent="0.3"/>
    <row r="821" s="4" customFormat="1" ht="14.25" customHeight="1" x14ac:dyDescent="0.3"/>
    <row r="822" s="4" customFormat="1" ht="14.25" customHeight="1" x14ac:dyDescent="0.3"/>
    <row r="823" s="4" customFormat="1" ht="14.25" customHeight="1" x14ac:dyDescent="0.3"/>
    <row r="824" s="4" customFormat="1" ht="14.25" customHeight="1" x14ac:dyDescent="0.3"/>
    <row r="825" s="4" customFormat="1" ht="14.25" customHeight="1" x14ac:dyDescent="0.3"/>
    <row r="826" s="4" customFormat="1" ht="14.25" customHeight="1" x14ac:dyDescent="0.3"/>
    <row r="827" s="4" customFormat="1" ht="14.25" customHeight="1" x14ac:dyDescent="0.3"/>
    <row r="828" s="4" customFormat="1" ht="14.25" customHeight="1" x14ac:dyDescent="0.3"/>
    <row r="829" s="4" customFormat="1" ht="14.25" customHeight="1" x14ac:dyDescent="0.3"/>
    <row r="830" s="4" customFormat="1" ht="14.25" customHeight="1" x14ac:dyDescent="0.3"/>
    <row r="831" s="4" customFormat="1" ht="14.25" customHeight="1" x14ac:dyDescent="0.3"/>
    <row r="832" s="4" customFormat="1" ht="14.25" customHeight="1" x14ac:dyDescent="0.3"/>
    <row r="833" s="4" customFormat="1" ht="14.25" customHeight="1" x14ac:dyDescent="0.3"/>
    <row r="834" s="4" customFormat="1" ht="14.25" customHeight="1" x14ac:dyDescent="0.3"/>
    <row r="835" s="4" customFormat="1" ht="14.25" customHeight="1" x14ac:dyDescent="0.3"/>
    <row r="836" s="4" customFormat="1" ht="14.25" customHeight="1" x14ac:dyDescent="0.3"/>
    <row r="837" s="4" customFormat="1" ht="14.25" customHeight="1" x14ac:dyDescent="0.3"/>
    <row r="838" s="4" customFormat="1" ht="14.25" customHeight="1" x14ac:dyDescent="0.3"/>
    <row r="839" s="4" customFormat="1" ht="14.25" customHeight="1" x14ac:dyDescent="0.3"/>
    <row r="840" s="4" customFormat="1" ht="14.25" customHeight="1" x14ac:dyDescent="0.3"/>
    <row r="841" s="4" customFormat="1" ht="14.25" customHeight="1" x14ac:dyDescent="0.3"/>
    <row r="842" s="4" customFormat="1" ht="14.25" customHeight="1" x14ac:dyDescent="0.3"/>
    <row r="843" s="4" customFormat="1" ht="14.25" customHeight="1" x14ac:dyDescent="0.3"/>
    <row r="844" s="4" customFormat="1" ht="14.25" customHeight="1" x14ac:dyDescent="0.3"/>
    <row r="845" s="4" customFormat="1" ht="14.25" customHeight="1" x14ac:dyDescent="0.3"/>
    <row r="846" s="4" customFormat="1" ht="14.25" customHeight="1" x14ac:dyDescent="0.3"/>
    <row r="847" s="4" customFormat="1" ht="14.25" customHeight="1" x14ac:dyDescent="0.3"/>
    <row r="848" s="4" customFormat="1" ht="14.25" customHeight="1" x14ac:dyDescent="0.3"/>
    <row r="849" s="4" customFormat="1" ht="14.25" customHeight="1" x14ac:dyDescent="0.3"/>
    <row r="850" s="4" customFormat="1" ht="14.25" customHeight="1" x14ac:dyDescent="0.3"/>
    <row r="851" s="4" customFormat="1" ht="14.25" customHeight="1" x14ac:dyDescent="0.3"/>
    <row r="852" s="4" customFormat="1" ht="14.25" customHeight="1" x14ac:dyDescent="0.3"/>
    <row r="853" s="4" customFormat="1" ht="14.25" customHeight="1" x14ac:dyDescent="0.3"/>
    <row r="854" s="4" customFormat="1" ht="14.25" customHeight="1" x14ac:dyDescent="0.3"/>
    <row r="855" s="4" customFormat="1" ht="14.25" customHeight="1" x14ac:dyDescent="0.3"/>
    <row r="856" s="4" customFormat="1" ht="14.25" customHeight="1" x14ac:dyDescent="0.3"/>
    <row r="857" s="4" customFormat="1" ht="14.25" customHeight="1" x14ac:dyDescent="0.3"/>
    <row r="858" s="4" customFormat="1" ht="14.25" customHeight="1" x14ac:dyDescent="0.3"/>
    <row r="859" s="4" customFormat="1" ht="14.25" customHeight="1" x14ac:dyDescent="0.3"/>
    <row r="860" s="4" customFormat="1" ht="14.25" customHeight="1" x14ac:dyDescent="0.3"/>
    <row r="861" s="4" customFormat="1" ht="14.25" customHeight="1" x14ac:dyDescent="0.3"/>
    <row r="862" s="4" customFormat="1" ht="14.25" customHeight="1" x14ac:dyDescent="0.3"/>
    <row r="863" s="4" customFormat="1" ht="14.25" customHeight="1" x14ac:dyDescent="0.3"/>
    <row r="864" s="4" customFormat="1" ht="14.25" customHeight="1" x14ac:dyDescent="0.3"/>
    <row r="865" s="4" customFormat="1" ht="14.25" customHeight="1" x14ac:dyDescent="0.3"/>
    <row r="866" s="4" customFormat="1" ht="14.25" customHeight="1" x14ac:dyDescent="0.3"/>
    <row r="867" s="4" customFormat="1" ht="14.25" customHeight="1" x14ac:dyDescent="0.3"/>
    <row r="868" s="4" customFormat="1" ht="14.25" customHeight="1" x14ac:dyDescent="0.3"/>
    <row r="869" s="4" customFormat="1" ht="14.25" customHeight="1" x14ac:dyDescent="0.3"/>
    <row r="870" s="4" customFormat="1" ht="14.25" customHeight="1" x14ac:dyDescent="0.3"/>
    <row r="871" s="4" customFormat="1" ht="14.25" customHeight="1" x14ac:dyDescent="0.3"/>
    <row r="872" s="4" customFormat="1" ht="14.25" customHeight="1" x14ac:dyDescent="0.3"/>
    <row r="873" s="4" customFormat="1" ht="14.25" customHeight="1" x14ac:dyDescent="0.3"/>
    <row r="874" s="4" customFormat="1" ht="14.25" customHeight="1" x14ac:dyDescent="0.3"/>
    <row r="875" s="4" customFormat="1" ht="14.25" customHeight="1" x14ac:dyDescent="0.3"/>
    <row r="876" s="4" customFormat="1" ht="14.25" customHeight="1" x14ac:dyDescent="0.3"/>
    <row r="877" s="4" customFormat="1" ht="14.25" customHeight="1" x14ac:dyDescent="0.3"/>
    <row r="878" s="4" customFormat="1" ht="14.25" customHeight="1" x14ac:dyDescent="0.3"/>
    <row r="879" s="4" customFormat="1" ht="14.25" customHeight="1" x14ac:dyDescent="0.3"/>
    <row r="880" s="4" customFormat="1" ht="14.25" customHeight="1" x14ac:dyDescent="0.3"/>
    <row r="881" s="4" customFormat="1" ht="14.25" customHeight="1" x14ac:dyDescent="0.3"/>
    <row r="882" s="4" customFormat="1" ht="14.25" customHeight="1" x14ac:dyDescent="0.3"/>
    <row r="883" s="4" customFormat="1" ht="14.25" customHeight="1" x14ac:dyDescent="0.3"/>
    <row r="884" s="4" customFormat="1" ht="14.25" customHeight="1" x14ac:dyDescent="0.3"/>
    <row r="885" s="4" customFormat="1" ht="14.25" customHeight="1" x14ac:dyDescent="0.3"/>
    <row r="886" s="4" customFormat="1" ht="14.25" customHeight="1" x14ac:dyDescent="0.3"/>
    <row r="887" s="4" customFormat="1" ht="14.25" customHeight="1" x14ac:dyDescent="0.3"/>
    <row r="888" s="4" customFormat="1" ht="14.25" customHeight="1" x14ac:dyDescent="0.3"/>
    <row r="889" s="4" customFormat="1" ht="14.25" customHeight="1" x14ac:dyDescent="0.3"/>
    <row r="890" s="4" customFormat="1" ht="14.25" customHeight="1" x14ac:dyDescent="0.3"/>
    <row r="891" s="4" customFormat="1" ht="14.25" customHeight="1" x14ac:dyDescent="0.3"/>
    <row r="892" s="4" customFormat="1" ht="14.25" customHeight="1" x14ac:dyDescent="0.3"/>
    <row r="893" s="4" customFormat="1" ht="14.25" customHeight="1" x14ac:dyDescent="0.3"/>
    <row r="894" s="4" customFormat="1" ht="14.25" customHeight="1" x14ac:dyDescent="0.3"/>
    <row r="895" s="4" customFormat="1" ht="14.25" customHeight="1" x14ac:dyDescent="0.3"/>
    <row r="896" s="4" customFormat="1" ht="14.25" customHeight="1" x14ac:dyDescent="0.3"/>
    <row r="897" s="4" customFormat="1" ht="14.25" customHeight="1" x14ac:dyDescent="0.3"/>
    <row r="898" s="4" customFormat="1" ht="14.25" customHeight="1" x14ac:dyDescent="0.3"/>
    <row r="899" s="4" customFormat="1" ht="14.25" customHeight="1" x14ac:dyDescent="0.3"/>
    <row r="900" s="4" customFormat="1" ht="14.25" customHeight="1" x14ac:dyDescent="0.3"/>
    <row r="901" s="4" customFormat="1" ht="14.25" customHeight="1" x14ac:dyDescent="0.3"/>
    <row r="902" s="4" customFormat="1" ht="14.25" customHeight="1" x14ac:dyDescent="0.3"/>
    <row r="903" s="4" customFormat="1" ht="14.25" customHeight="1" x14ac:dyDescent="0.3"/>
    <row r="904" s="4" customFormat="1" ht="14.25" customHeight="1" x14ac:dyDescent="0.3"/>
    <row r="905" s="4" customFormat="1" ht="14.25" customHeight="1" x14ac:dyDescent="0.3"/>
    <row r="906" s="4" customFormat="1" ht="14.25" customHeight="1" x14ac:dyDescent="0.3"/>
    <row r="907" s="4" customFormat="1" ht="14.25" customHeight="1" x14ac:dyDescent="0.3"/>
    <row r="908" s="4" customFormat="1" ht="14.25" customHeight="1" x14ac:dyDescent="0.3"/>
    <row r="909" s="4" customFormat="1" ht="14.25" customHeight="1" x14ac:dyDescent="0.3"/>
    <row r="910" s="4" customFormat="1" ht="14.25" customHeight="1" x14ac:dyDescent="0.3"/>
    <row r="911" s="4" customFormat="1" ht="14.25" customHeight="1" x14ac:dyDescent="0.3"/>
    <row r="912" s="4" customFormat="1" ht="14.25" customHeight="1" x14ac:dyDescent="0.3"/>
    <row r="913" s="4" customFormat="1" ht="14.25" customHeight="1" x14ac:dyDescent="0.3"/>
    <row r="914" s="4" customFormat="1" ht="14.25" customHeight="1" x14ac:dyDescent="0.3"/>
    <row r="915" s="4" customFormat="1" ht="14.25" customHeight="1" x14ac:dyDescent="0.3"/>
    <row r="916" s="4" customFormat="1" ht="14.25" customHeight="1" x14ac:dyDescent="0.3"/>
    <row r="917" s="4" customFormat="1" ht="14.25" customHeight="1" x14ac:dyDescent="0.3"/>
    <row r="918" s="4" customFormat="1" ht="14.25" customHeight="1" x14ac:dyDescent="0.3"/>
    <row r="919" s="4" customFormat="1" ht="14.25" customHeight="1" x14ac:dyDescent="0.3"/>
    <row r="920" s="4" customFormat="1" ht="14.25" customHeight="1" x14ac:dyDescent="0.3"/>
    <row r="921" s="4" customFormat="1" ht="14.25" customHeight="1" x14ac:dyDescent="0.3"/>
    <row r="922" s="4" customFormat="1" ht="14.25" customHeight="1" x14ac:dyDescent="0.3"/>
    <row r="923" s="4" customFormat="1" ht="14.25" customHeight="1" x14ac:dyDescent="0.3"/>
    <row r="924" s="4" customFormat="1" ht="14.25" customHeight="1" x14ac:dyDescent="0.3"/>
    <row r="925" s="4" customFormat="1" ht="14.25" customHeight="1" x14ac:dyDescent="0.3"/>
    <row r="926" s="4" customFormat="1" ht="14.25" customHeight="1" x14ac:dyDescent="0.3"/>
    <row r="927" s="4" customFormat="1" ht="14.25" customHeight="1" x14ac:dyDescent="0.3"/>
    <row r="928" s="4" customFormat="1" ht="14.25" customHeight="1" x14ac:dyDescent="0.3"/>
    <row r="929" s="4" customFormat="1" ht="14.25" customHeight="1" x14ac:dyDescent="0.3"/>
    <row r="930" s="4" customFormat="1" ht="14.25" customHeight="1" x14ac:dyDescent="0.3"/>
    <row r="931" s="4" customFormat="1" ht="14.25" customHeight="1" x14ac:dyDescent="0.3"/>
    <row r="932" s="4" customFormat="1" ht="14.25" customHeight="1" x14ac:dyDescent="0.3"/>
    <row r="933" s="4" customFormat="1" ht="14.25" customHeight="1" x14ac:dyDescent="0.3"/>
    <row r="934" s="4" customFormat="1" ht="14.25" customHeight="1" x14ac:dyDescent="0.3"/>
    <row r="935" s="4" customFormat="1" ht="14.25" customHeight="1" x14ac:dyDescent="0.3"/>
    <row r="936" s="4" customFormat="1" ht="14.25" customHeight="1" x14ac:dyDescent="0.3"/>
    <row r="937" s="4" customFormat="1" ht="14.25" customHeight="1" x14ac:dyDescent="0.3"/>
    <row r="938" s="4" customFormat="1" ht="14.25" customHeight="1" x14ac:dyDescent="0.3"/>
    <row r="939" s="4" customFormat="1" ht="14.25" customHeight="1" x14ac:dyDescent="0.3"/>
    <row r="940" s="4" customFormat="1" ht="14.25" customHeight="1" x14ac:dyDescent="0.3"/>
    <row r="941" s="4" customFormat="1" ht="14.25" customHeight="1" x14ac:dyDescent="0.3"/>
    <row r="942" s="4" customFormat="1" ht="14.25" customHeight="1" x14ac:dyDescent="0.3"/>
    <row r="943" s="4" customFormat="1" ht="14.25" customHeight="1" x14ac:dyDescent="0.3"/>
    <row r="944" s="4" customFormat="1" ht="14.25" customHeight="1" x14ac:dyDescent="0.3"/>
    <row r="945" s="4" customFormat="1" ht="14.25" customHeight="1" x14ac:dyDescent="0.3"/>
    <row r="946" s="4" customFormat="1" ht="14.25" customHeight="1" x14ac:dyDescent="0.3"/>
    <row r="947" s="4" customFormat="1" ht="14.25" customHeight="1" x14ac:dyDescent="0.3"/>
    <row r="948" s="4" customFormat="1" ht="14.25" customHeight="1" x14ac:dyDescent="0.3"/>
    <row r="949" s="4" customFormat="1" ht="14.25" customHeight="1" x14ac:dyDescent="0.3"/>
    <row r="950" s="4" customFormat="1" ht="14.25" customHeight="1" x14ac:dyDescent="0.3"/>
    <row r="951" s="4" customFormat="1" ht="14.25" customHeight="1" x14ac:dyDescent="0.3"/>
    <row r="952" s="4" customFormat="1" ht="14.25" customHeight="1" x14ac:dyDescent="0.3"/>
    <row r="953" s="4" customFormat="1" ht="14.25" customHeight="1" x14ac:dyDescent="0.3"/>
    <row r="954" s="4" customFormat="1" ht="14.25" customHeight="1" x14ac:dyDescent="0.3"/>
    <row r="955" s="4" customFormat="1" ht="14.25" customHeight="1" x14ac:dyDescent="0.3"/>
    <row r="956" s="4" customFormat="1" ht="14.25" customHeight="1" x14ac:dyDescent="0.3"/>
    <row r="957" s="4" customFormat="1" ht="14.25" customHeight="1" x14ac:dyDescent="0.3"/>
    <row r="958" s="4" customFormat="1" ht="14.25" customHeight="1" x14ac:dyDescent="0.3"/>
    <row r="959" s="4" customFormat="1" ht="14.25" customHeight="1" x14ac:dyDescent="0.3"/>
    <row r="960" s="4" customFormat="1" ht="14.25" customHeight="1" x14ac:dyDescent="0.3"/>
    <row r="961" s="4" customFormat="1" ht="14.25" customHeight="1" x14ac:dyDescent="0.3"/>
    <row r="962" s="4" customFormat="1" ht="14.25" customHeight="1" x14ac:dyDescent="0.3"/>
    <row r="963" s="4" customFormat="1" ht="14.25" customHeight="1" x14ac:dyDescent="0.3"/>
    <row r="964" s="4" customFormat="1" ht="14.25" customHeight="1" x14ac:dyDescent="0.3"/>
    <row r="965" s="4" customFormat="1" ht="14.25" customHeight="1" x14ac:dyDescent="0.3"/>
    <row r="966" s="4" customFormat="1" ht="14.25" customHeight="1" x14ac:dyDescent="0.3"/>
    <row r="967" s="4" customFormat="1" ht="14.25" customHeight="1" x14ac:dyDescent="0.3"/>
    <row r="968" s="4" customFormat="1" ht="14.25" customHeight="1" x14ac:dyDescent="0.3"/>
    <row r="969" s="4" customFormat="1" ht="14.25" customHeight="1" x14ac:dyDescent="0.3"/>
    <row r="970" s="4" customFormat="1" ht="14.25" customHeight="1" x14ac:dyDescent="0.3"/>
    <row r="971" s="4" customFormat="1" ht="14.25" customHeight="1" x14ac:dyDescent="0.3"/>
    <row r="972" s="4" customFormat="1" ht="14.25" customHeight="1" x14ac:dyDescent="0.3"/>
    <row r="973" s="4" customFormat="1" ht="14.25" customHeight="1" x14ac:dyDescent="0.3"/>
    <row r="974" s="4" customFormat="1" ht="14.25" customHeight="1" x14ac:dyDescent="0.3"/>
    <row r="975" s="4" customFormat="1" ht="14.25" customHeight="1" x14ac:dyDescent="0.3"/>
    <row r="976" s="4" customFormat="1" ht="14.25" customHeight="1" x14ac:dyDescent="0.3"/>
    <row r="977" s="4" customFormat="1" ht="14.25" customHeight="1" x14ac:dyDescent="0.3"/>
    <row r="978" s="4" customFormat="1" x14ac:dyDescent="0.3"/>
    <row r="979" s="4" customFormat="1" x14ac:dyDescent="0.3"/>
    <row r="980" s="4" customFormat="1" x14ac:dyDescent="0.3"/>
    <row r="981" s="4" customFormat="1" x14ac:dyDescent="0.3"/>
    <row r="982" s="4" customFormat="1" x14ac:dyDescent="0.3"/>
    <row r="983" s="4" customFormat="1" x14ac:dyDescent="0.3"/>
    <row r="984" s="4" customFormat="1" x14ac:dyDescent="0.3"/>
    <row r="985" s="4" customFormat="1" x14ac:dyDescent="0.3"/>
    <row r="986" s="4" customFormat="1" x14ac:dyDescent="0.3"/>
    <row r="987" s="4" customFormat="1" x14ac:dyDescent="0.3"/>
    <row r="988" s="4" customFormat="1" x14ac:dyDescent="0.3"/>
    <row r="989" s="4" customFormat="1" x14ac:dyDescent="0.3"/>
    <row r="990" s="4" customFormat="1" x14ac:dyDescent="0.3"/>
    <row r="991" s="4" customFormat="1" x14ac:dyDescent="0.3"/>
    <row r="992" s="4" customFormat="1" x14ac:dyDescent="0.3"/>
    <row r="993" s="4" customFormat="1" x14ac:dyDescent="0.3"/>
  </sheetData>
  <mergeCells count="1">
    <mergeCell ref="D2:F2"/>
  </mergeCells>
  <conditionalFormatting sqref="H9:H12">
    <cfRule type="cellIs" dxfId="3" priority="1" operator="equal">
      <formula>"Fail"</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4CD44-3D13-48E3-8FA0-18AB9C44439F}">
  <dimension ref="A1:I976"/>
  <sheetViews>
    <sheetView topLeftCell="A5" zoomScale="85" zoomScaleNormal="85" workbookViewId="0">
      <selection activeCell="F13" sqref="F13"/>
    </sheetView>
  </sheetViews>
  <sheetFormatPr defaultColWidth="14.44140625" defaultRowHeight="15.6" x14ac:dyDescent="0.3"/>
  <cols>
    <col min="1" max="1" width="17.33203125" style="4" customWidth="1"/>
    <col min="2" max="2" width="30.77734375" style="4" customWidth="1"/>
    <col min="3" max="3" width="24.33203125" style="4" customWidth="1"/>
    <col min="4" max="4" width="26.6640625" style="4" customWidth="1"/>
    <col min="5" max="5" width="35.21875" style="4" bestFit="1" customWidth="1"/>
    <col min="6" max="6" width="33.44140625" style="4" customWidth="1"/>
    <col min="7" max="7" width="30.44140625" style="4" customWidth="1"/>
    <col min="8" max="8" width="8.44140625" style="4" customWidth="1"/>
    <col min="9" max="9" width="19.88671875" style="4" customWidth="1"/>
    <col min="10" max="26" width="8.6640625" style="4" customWidth="1"/>
    <col min="27" max="16384" width="14.44140625" style="4"/>
  </cols>
  <sheetData>
    <row r="1" spans="1:9" ht="16.2" thickBot="1" x14ac:dyDescent="0.35">
      <c r="A1" s="1" t="s">
        <v>0</v>
      </c>
      <c r="B1" s="2" t="s">
        <v>22</v>
      </c>
      <c r="F1" s="3"/>
      <c r="G1" s="3"/>
      <c r="H1" s="3"/>
      <c r="I1" s="3"/>
    </row>
    <row r="2" spans="1:9" ht="16.2" thickBot="1" x14ac:dyDescent="0.35">
      <c r="A2" s="1" t="s">
        <v>2</v>
      </c>
      <c r="B2" s="2" t="s">
        <v>166</v>
      </c>
      <c r="C2" s="3"/>
      <c r="D2" s="62" t="s">
        <v>1</v>
      </c>
      <c r="E2" s="63"/>
      <c r="F2" s="64"/>
      <c r="G2" s="3"/>
      <c r="H2" s="3"/>
      <c r="I2" s="3"/>
    </row>
    <row r="3" spans="1:9" ht="16.2" thickBot="1" x14ac:dyDescent="0.35">
      <c r="A3" s="1" t="s">
        <v>3</v>
      </c>
      <c r="B3" s="2" t="s">
        <v>21</v>
      </c>
      <c r="C3" s="3"/>
      <c r="D3" s="3"/>
      <c r="E3" s="3"/>
      <c r="F3" s="3"/>
      <c r="G3" s="3"/>
      <c r="H3" s="3"/>
      <c r="I3" s="3"/>
    </row>
    <row r="4" spans="1:9" ht="16.2" thickBot="1" x14ac:dyDescent="0.35">
      <c r="A4" s="1" t="s">
        <v>4</v>
      </c>
      <c r="B4" s="5">
        <v>45976</v>
      </c>
      <c r="C4" s="6"/>
      <c r="D4" s="3"/>
      <c r="E4" s="3"/>
      <c r="F4" s="3"/>
      <c r="G4" s="3"/>
      <c r="H4" s="3"/>
      <c r="I4" s="3"/>
    </row>
    <row r="5" spans="1:9" ht="16.2" thickBot="1" x14ac:dyDescent="0.35">
      <c r="A5" s="1" t="s">
        <v>5</v>
      </c>
      <c r="B5" s="2" t="s">
        <v>6</v>
      </c>
      <c r="C5" s="3"/>
      <c r="D5" s="3"/>
      <c r="E5" s="3"/>
      <c r="F5" s="3"/>
      <c r="G5" s="3"/>
      <c r="H5" s="3"/>
      <c r="I5" s="3"/>
    </row>
    <row r="6" spans="1:9" ht="16.2" thickBot="1" x14ac:dyDescent="0.35">
      <c r="A6" s="1" t="s">
        <v>7</v>
      </c>
      <c r="B6" s="32">
        <v>45983</v>
      </c>
      <c r="C6" s="7"/>
      <c r="D6" s="3"/>
      <c r="E6" s="3"/>
      <c r="F6" s="3"/>
      <c r="G6" s="3"/>
      <c r="H6" s="3"/>
      <c r="I6" s="3"/>
    </row>
    <row r="7" spans="1:9" ht="14.25" customHeight="1" thickBot="1" x14ac:dyDescent="0.35">
      <c r="A7" s="8"/>
      <c r="B7" s="8"/>
      <c r="C7" s="8"/>
      <c r="D7" s="8"/>
      <c r="E7" s="8"/>
      <c r="F7" s="8"/>
      <c r="G7" s="8"/>
      <c r="H7" s="8"/>
      <c r="I7" s="8"/>
    </row>
    <row r="8" spans="1:9" ht="16.2" thickBot="1" x14ac:dyDescent="0.35">
      <c r="A8" s="9" t="s">
        <v>8</v>
      </c>
      <c r="B8" s="9" t="s">
        <v>9</v>
      </c>
      <c r="C8" s="9" t="s">
        <v>10</v>
      </c>
      <c r="D8" s="27" t="s">
        <v>11</v>
      </c>
      <c r="E8" s="9" t="s">
        <v>12</v>
      </c>
      <c r="F8" s="9" t="s">
        <v>13</v>
      </c>
      <c r="G8" s="9" t="s">
        <v>14</v>
      </c>
      <c r="H8" s="9" t="s">
        <v>15</v>
      </c>
      <c r="I8" s="9" t="s">
        <v>16</v>
      </c>
    </row>
    <row r="9" spans="1:9" ht="85.2" customHeight="1" thickBot="1" x14ac:dyDescent="0.35">
      <c r="A9" s="10" t="s">
        <v>167</v>
      </c>
      <c r="B9" s="15" t="s">
        <v>170</v>
      </c>
      <c r="C9" s="25" t="s">
        <v>164</v>
      </c>
      <c r="D9" s="14" t="s">
        <v>204</v>
      </c>
      <c r="E9" s="26" t="s">
        <v>172</v>
      </c>
      <c r="F9" s="16" t="s">
        <v>173</v>
      </c>
      <c r="G9" s="16" t="s">
        <v>173</v>
      </c>
      <c r="H9" s="20" t="s">
        <v>17</v>
      </c>
      <c r="I9" s="10" t="s">
        <v>265</v>
      </c>
    </row>
    <row r="10" spans="1:9" ht="94.2" thickBot="1" x14ac:dyDescent="0.35">
      <c r="A10" s="10" t="s">
        <v>168</v>
      </c>
      <c r="B10" s="15" t="s">
        <v>171</v>
      </c>
      <c r="C10" s="25" t="s">
        <v>164</v>
      </c>
      <c r="D10" s="14" t="s">
        <v>257</v>
      </c>
      <c r="E10" s="26" t="s">
        <v>256</v>
      </c>
      <c r="F10" s="16" t="s">
        <v>174</v>
      </c>
      <c r="G10" s="16" t="s">
        <v>174</v>
      </c>
      <c r="H10" s="20" t="s">
        <v>17</v>
      </c>
      <c r="I10" s="10" t="s">
        <v>265</v>
      </c>
    </row>
    <row r="11" spans="1:9" ht="94.2" thickBot="1" x14ac:dyDescent="0.35">
      <c r="A11" s="10" t="s">
        <v>169</v>
      </c>
      <c r="B11" s="15" t="s">
        <v>175</v>
      </c>
      <c r="C11" s="25" t="s">
        <v>164</v>
      </c>
      <c r="D11" s="14" t="s">
        <v>258</v>
      </c>
      <c r="E11" s="26" t="s">
        <v>172</v>
      </c>
      <c r="F11" s="16" t="s">
        <v>177</v>
      </c>
      <c r="G11" s="16" t="s">
        <v>186</v>
      </c>
      <c r="H11" s="20" t="s">
        <v>18</v>
      </c>
      <c r="I11" s="10" t="s">
        <v>265</v>
      </c>
    </row>
    <row r="12" spans="1:9" ht="14.25" customHeight="1" x14ac:dyDescent="0.3">
      <c r="A12" s="12"/>
      <c r="B12" s="12"/>
      <c r="C12" s="12"/>
      <c r="D12" s="12"/>
      <c r="E12" s="12"/>
      <c r="F12" s="12"/>
      <c r="G12" s="21" t="s">
        <v>17</v>
      </c>
      <c r="H12" s="22">
        <f>COUNTIF(H9:H11,"Pass")</f>
        <v>2</v>
      </c>
      <c r="I12" s="12"/>
    </row>
    <row r="13" spans="1:9" ht="14.25" customHeight="1" x14ac:dyDescent="0.3">
      <c r="A13" s="12"/>
      <c r="B13" s="12"/>
      <c r="C13" s="12"/>
      <c r="D13" s="12"/>
      <c r="E13" s="12"/>
      <c r="F13" s="12"/>
      <c r="G13" s="21" t="s">
        <v>18</v>
      </c>
      <c r="H13" s="22">
        <f>COUNTIF(H9:H11,"Fail")</f>
        <v>1</v>
      </c>
      <c r="I13" s="12"/>
    </row>
    <row r="14" spans="1:9" ht="14.25" customHeight="1" x14ac:dyDescent="0.3">
      <c r="A14" s="12"/>
      <c r="B14" s="12"/>
      <c r="C14" s="12"/>
      <c r="D14" s="12"/>
      <c r="E14" s="12"/>
      <c r="F14" s="12"/>
      <c r="G14" s="23" t="s">
        <v>19</v>
      </c>
      <c r="H14" s="24">
        <f>COUNTIF(H10:H11,"Pending")</f>
        <v>0</v>
      </c>
      <c r="I14" s="12"/>
    </row>
    <row r="15" spans="1:9" ht="14.25" customHeight="1" x14ac:dyDescent="0.3">
      <c r="G15" s="22" t="s">
        <v>20</v>
      </c>
      <c r="H15" s="22">
        <f>SUM(H12:H14)</f>
        <v>3</v>
      </c>
    </row>
    <row r="16" spans="1:9" ht="14.25" customHeight="1" x14ac:dyDescent="0.3"/>
    <row r="17" s="4" customFormat="1" ht="14.25" customHeight="1" x14ac:dyDescent="0.3"/>
    <row r="18" s="4" customFormat="1" ht="14.25" customHeight="1" x14ac:dyDescent="0.3"/>
    <row r="19" s="4" customFormat="1" ht="14.25" customHeight="1" x14ac:dyDescent="0.3"/>
    <row r="20" s="4" customFormat="1" ht="14.25" customHeight="1" x14ac:dyDescent="0.3"/>
    <row r="21" s="4" customFormat="1" ht="14.25" customHeight="1" x14ac:dyDescent="0.3"/>
    <row r="22" s="4" customFormat="1" ht="14.25" customHeight="1" x14ac:dyDescent="0.3"/>
    <row r="23" s="4" customFormat="1" ht="14.25" customHeight="1" x14ac:dyDescent="0.3"/>
    <row r="24" s="4" customFormat="1" ht="14.25" customHeight="1" x14ac:dyDescent="0.3"/>
    <row r="25" s="4" customFormat="1" ht="14.25" customHeight="1" x14ac:dyDescent="0.3"/>
    <row r="26" s="4" customFormat="1" ht="14.25" customHeight="1" x14ac:dyDescent="0.3"/>
    <row r="27" s="4" customFormat="1" ht="14.25" customHeight="1" x14ac:dyDescent="0.3"/>
    <row r="28" s="4" customFormat="1" ht="14.25" customHeight="1" x14ac:dyDescent="0.3"/>
    <row r="29" s="4" customFormat="1" ht="14.25" customHeight="1" x14ac:dyDescent="0.3"/>
    <row r="30" s="4" customFormat="1" ht="14.25" customHeight="1" x14ac:dyDescent="0.3"/>
    <row r="31" s="4" customFormat="1" ht="14.25" customHeight="1" x14ac:dyDescent="0.3"/>
    <row r="32" s="4" customFormat="1" ht="14.25" customHeight="1" x14ac:dyDescent="0.3"/>
    <row r="33" s="4" customFormat="1" ht="14.25" customHeight="1" x14ac:dyDescent="0.3"/>
    <row r="34" s="4" customFormat="1" ht="14.25" customHeight="1" x14ac:dyDescent="0.3"/>
    <row r="35" s="4" customFormat="1" ht="14.25" customHeight="1" x14ac:dyDescent="0.3"/>
    <row r="36" s="4" customFormat="1" ht="14.25" customHeight="1" x14ac:dyDescent="0.3"/>
    <row r="37" s="4" customFormat="1" ht="14.25" customHeight="1" x14ac:dyDescent="0.3"/>
    <row r="38" s="4" customFormat="1" ht="14.25" customHeight="1" x14ac:dyDescent="0.3"/>
    <row r="39" s="4" customFormat="1" ht="14.25" customHeight="1" x14ac:dyDescent="0.3"/>
    <row r="40" s="4" customFormat="1" ht="14.25" customHeight="1" x14ac:dyDescent="0.3"/>
    <row r="41" s="4" customFormat="1" ht="14.25" customHeight="1" x14ac:dyDescent="0.3"/>
    <row r="42" s="4" customFormat="1" ht="14.25" customHeight="1" x14ac:dyDescent="0.3"/>
    <row r="43" s="4" customFormat="1" ht="14.25" customHeight="1" x14ac:dyDescent="0.3"/>
    <row r="44" s="4" customFormat="1" ht="14.25" customHeight="1" x14ac:dyDescent="0.3"/>
    <row r="45" s="4" customFormat="1" ht="14.25" customHeight="1" x14ac:dyDescent="0.3"/>
    <row r="46" s="4" customFormat="1" ht="14.25" customHeight="1" x14ac:dyDescent="0.3"/>
    <row r="47" s="4" customFormat="1" ht="14.25" customHeight="1" x14ac:dyDescent="0.3"/>
    <row r="48" s="4" customFormat="1" ht="14.25" customHeight="1" x14ac:dyDescent="0.3"/>
    <row r="49" s="4" customFormat="1" ht="14.25" customHeight="1" x14ac:dyDescent="0.3"/>
    <row r="50" s="4" customFormat="1" ht="14.25" customHeight="1" x14ac:dyDescent="0.3"/>
    <row r="51" s="4" customFormat="1" ht="14.25" customHeight="1" x14ac:dyDescent="0.3"/>
    <row r="52" s="4" customFormat="1" ht="14.25" customHeight="1" x14ac:dyDescent="0.3"/>
    <row r="53" s="4" customFormat="1" ht="14.25" customHeight="1" x14ac:dyDescent="0.3"/>
    <row r="54" s="4" customFormat="1" ht="14.25" customHeight="1" x14ac:dyDescent="0.3"/>
    <row r="55" s="4" customFormat="1" ht="14.25" customHeight="1" x14ac:dyDescent="0.3"/>
    <row r="56" s="4" customFormat="1" ht="14.25" customHeight="1" x14ac:dyDescent="0.3"/>
    <row r="57" s="4" customFormat="1" ht="14.25" customHeight="1" x14ac:dyDescent="0.3"/>
    <row r="58" s="4" customFormat="1" ht="14.25" customHeight="1" x14ac:dyDescent="0.3"/>
    <row r="59" s="4" customFormat="1" ht="14.25" customHeight="1" x14ac:dyDescent="0.3"/>
    <row r="60" s="4" customFormat="1" ht="14.25" customHeight="1" x14ac:dyDescent="0.3"/>
    <row r="61" s="4" customFormat="1" ht="14.25" customHeight="1" x14ac:dyDescent="0.3"/>
    <row r="62" s="4" customFormat="1" ht="14.25" customHeight="1" x14ac:dyDescent="0.3"/>
    <row r="63" s="4" customFormat="1" ht="14.25" customHeight="1" x14ac:dyDescent="0.3"/>
    <row r="64" s="4" customFormat="1" ht="14.25" customHeight="1" x14ac:dyDescent="0.3"/>
    <row r="65" s="4" customFormat="1" ht="14.25" customHeight="1" x14ac:dyDescent="0.3"/>
    <row r="66" s="4" customFormat="1" ht="14.25" customHeight="1" x14ac:dyDescent="0.3"/>
    <row r="67" s="4" customFormat="1" ht="14.25" customHeight="1" x14ac:dyDescent="0.3"/>
    <row r="68" s="4" customFormat="1" ht="14.25" customHeight="1" x14ac:dyDescent="0.3"/>
    <row r="69" s="4" customFormat="1" ht="14.25" customHeight="1" x14ac:dyDescent="0.3"/>
    <row r="70" s="4" customFormat="1" ht="14.25" customHeight="1" x14ac:dyDescent="0.3"/>
    <row r="71" s="4" customFormat="1" ht="14.25" customHeight="1" x14ac:dyDescent="0.3"/>
    <row r="72" s="4" customFormat="1" ht="14.25" customHeight="1" x14ac:dyDescent="0.3"/>
    <row r="73" s="4" customFormat="1" ht="14.25" customHeight="1" x14ac:dyDescent="0.3"/>
    <row r="74" s="4" customFormat="1" ht="14.25" customHeight="1" x14ac:dyDescent="0.3"/>
    <row r="75" s="4" customFormat="1" ht="14.25" customHeight="1" x14ac:dyDescent="0.3"/>
    <row r="76" s="4" customFormat="1" ht="14.25" customHeight="1" x14ac:dyDescent="0.3"/>
    <row r="77" s="4" customFormat="1" ht="14.25" customHeight="1" x14ac:dyDescent="0.3"/>
    <row r="78" s="4" customFormat="1" ht="14.25" customHeight="1" x14ac:dyDescent="0.3"/>
    <row r="79" s="4" customFormat="1" ht="14.25" customHeight="1" x14ac:dyDescent="0.3"/>
    <row r="80" s="4" customFormat="1" ht="14.25" customHeight="1" x14ac:dyDescent="0.3"/>
    <row r="81" s="4" customFormat="1" ht="14.25" customHeight="1" x14ac:dyDescent="0.3"/>
    <row r="82" s="4" customFormat="1" ht="14.25" customHeight="1" x14ac:dyDescent="0.3"/>
    <row r="83" s="4" customFormat="1" ht="14.25" customHeight="1" x14ac:dyDescent="0.3"/>
    <row r="84" s="4" customFormat="1" ht="14.25" customHeight="1" x14ac:dyDescent="0.3"/>
    <row r="85" s="4" customFormat="1" ht="14.25" customHeight="1" x14ac:dyDescent="0.3"/>
    <row r="86" s="4" customFormat="1" ht="14.25" customHeight="1" x14ac:dyDescent="0.3"/>
    <row r="87" s="4" customFormat="1" ht="14.25" customHeight="1" x14ac:dyDescent="0.3"/>
    <row r="88" s="4" customFormat="1" ht="14.25" customHeight="1" x14ac:dyDescent="0.3"/>
    <row r="89" s="4" customFormat="1" ht="14.25" customHeight="1" x14ac:dyDescent="0.3"/>
    <row r="90" s="4" customFormat="1" ht="14.25" customHeight="1" x14ac:dyDescent="0.3"/>
    <row r="91" s="4" customFormat="1" ht="14.25" customHeight="1" x14ac:dyDescent="0.3"/>
    <row r="92" s="4" customFormat="1" ht="14.25" customHeight="1" x14ac:dyDescent="0.3"/>
    <row r="93" s="4" customFormat="1" ht="14.25" customHeight="1" x14ac:dyDescent="0.3"/>
    <row r="94" s="4" customFormat="1" ht="14.25" customHeight="1" x14ac:dyDescent="0.3"/>
    <row r="95" s="4" customFormat="1" ht="14.25" customHeight="1" x14ac:dyDescent="0.3"/>
    <row r="96" s="4" customFormat="1" ht="14.25" customHeight="1" x14ac:dyDescent="0.3"/>
    <row r="97" s="4" customFormat="1" ht="14.25" customHeight="1" x14ac:dyDescent="0.3"/>
    <row r="98" s="4" customFormat="1" ht="14.25" customHeight="1" x14ac:dyDescent="0.3"/>
    <row r="99" s="4" customFormat="1" ht="14.25" customHeight="1" x14ac:dyDescent="0.3"/>
    <row r="100" s="4" customFormat="1" ht="14.25" customHeight="1" x14ac:dyDescent="0.3"/>
    <row r="101" s="4" customFormat="1" ht="14.25" customHeight="1" x14ac:dyDescent="0.3"/>
    <row r="102" s="4" customFormat="1" ht="14.25" customHeight="1" x14ac:dyDescent="0.3"/>
    <row r="103" s="4" customFormat="1" ht="14.25" customHeight="1" x14ac:dyDescent="0.3"/>
    <row r="104" s="4" customFormat="1" ht="14.25" customHeight="1" x14ac:dyDescent="0.3"/>
    <row r="105" s="4" customFormat="1" ht="14.25" customHeight="1" x14ac:dyDescent="0.3"/>
    <row r="106" s="4" customFormat="1" ht="14.25" customHeight="1" x14ac:dyDescent="0.3"/>
    <row r="107" s="4" customFormat="1" ht="14.25" customHeight="1" x14ac:dyDescent="0.3"/>
    <row r="108" s="4" customFormat="1" ht="14.25" customHeight="1" x14ac:dyDescent="0.3"/>
    <row r="109" s="4" customFormat="1" ht="14.25" customHeight="1" x14ac:dyDescent="0.3"/>
    <row r="110" s="4" customFormat="1" ht="14.25" customHeight="1" x14ac:dyDescent="0.3"/>
    <row r="111" s="4" customFormat="1" ht="14.25" customHeight="1" x14ac:dyDescent="0.3"/>
    <row r="112" s="4" customFormat="1" ht="14.25" customHeight="1" x14ac:dyDescent="0.3"/>
    <row r="113" s="4" customFormat="1" ht="14.25" customHeight="1" x14ac:dyDescent="0.3"/>
    <row r="114" s="4" customFormat="1" ht="14.25" customHeight="1" x14ac:dyDescent="0.3"/>
    <row r="115" s="4" customFormat="1" ht="14.25" customHeight="1" x14ac:dyDescent="0.3"/>
    <row r="116" s="4" customFormat="1" ht="14.25" customHeight="1" x14ac:dyDescent="0.3"/>
    <row r="117" s="4" customFormat="1" ht="14.25" customHeight="1" x14ac:dyDescent="0.3"/>
    <row r="118" s="4" customFormat="1" ht="14.25" customHeight="1" x14ac:dyDescent="0.3"/>
    <row r="119" s="4" customFormat="1" ht="14.25" customHeight="1" x14ac:dyDescent="0.3"/>
    <row r="120" s="4" customFormat="1" ht="14.25" customHeight="1" x14ac:dyDescent="0.3"/>
    <row r="121" s="4" customFormat="1" ht="14.25" customHeight="1" x14ac:dyDescent="0.3"/>
    <row r="122" s="4" customFormat="1" ht="14.25" customHeight="1" x14ac:dyDescent="0.3"/>
    <row r="123" s="4" customFormat="1" ht="14.25" customHeight="1" x14ac:dyDescent="0.3"/>
    <row r="124" s="4" customFormat="1" ht="14.25" customHeight="1" x14ac:dyDescent="0.3"/>
    <row r="125" s="4" customFormat="1" ht="14.25" customHeight="1" x14ac:dyDescent="0.3"/>
    <row r="126" s="4" customFormat="1" ht="14.25" customHeight="1" x14ac:dyDescent="0.3"/>
    <row r="127" s="4" customFormat="1" ht="14.25" customHeight="1" x14ac:dyDescent="0.3"/>
    <row r="128" s="4" customFormat="1" ht="14.25" customHeight="1" x14ac:dyDescent="0.3"/>
    <row r="129" s="4" customFormat="1" ht="14.25" customHeight="1" x14ac:dyDescent="0.3"/>
    <row r="130" s="4" customFormat="1" ht="14.25" customHeight="1" x14ac:dyDescent="0.3"/>
    <row r="131" s="4" customFormat="1" ht="14.25" customHeight="1" x14ac:dyDescent="0.3"/>
    <row r="132" s="4" customFormat="1" ht="14.25" customHeight="1" x14ac:dyDescent="0.3"/>
    <row r="133" s="4" customFormat="1" ht="14.25" customHeight="1" x14ac:dyDescent="0.3"/>
    <row r="134" s="4" customFormat="1" ht="14.25" customHeight="1" x14ac:dyDescent="0.3"/>
    <row r="135" s="4" customFormat="1" ht="14.25" customHeight="1" x14ac:dyDescent="0.3"/>
    <row r="136" s="4" customFormat="1" ht="14.25" customHeight="1" x14ac:dyDescent="0.3"/>
    <row r="137" s="4" customFormat="1" ht="14.25" customHeight="1" x14ac:dyDescent="0.3"/>
    <row r="138" s="4" customFormat="1" ht="14.25" customHeight="1" x14ac:dyDescent="0.3"/>
    <row r="139" s="4" customFormat="1" ht="14.25" customHeight="1" x14ac:dyDescent="0.3"/>
    <row r="140" s="4" customFormat="1" ht="14.25" customHeight="1" x14ac:dyDescent="0.3"/>
    <row r="141" s="4" customFormat="1" ht="14.25" customHeight="1" x14ac:dyDescent="0.3"/>
    <row r="142" s="4" customFormat="1" ht="14.25" customHeight="1" x14ac:dyDescent="0.3"/>
    <row r="143" s="4" customFormat="1" ht="14.25" customHeight="1" x14ac:dyDescent="0.3"/>
    <row r="144" s="4" customFormat="1" ht="14.25" customHeight="1" x14ac:dyDescent="0.3"/>
    <row r="145" s="4" customFormat="1" ht="14.25" customHeight="1" x14ac:dyDescent="0.3"/>
    <row r="146" s="4" customFormat="1" ht="14.25" customHeight="1" x14ac:dyDescent="0.3"/>
    <row r="147" s="4" customFormat="1" ht="14.25" customHeight="1" x14ac:dyDescent="0.3"/>
    <row r="148" s="4" customFormat="1" ht="14.25" customHeight="1" x14ac:dyDescent="0.3"/>
    <row r="149" s="4" customFormat="1" ht="14.25" customHeight="1" x14ac:dyDescent="0.3"/>
    <row r="150" s="4" customFormat="1" ht="14.25" customHeight="1" x14ac:dyDescent="0.3"/>
    <row r="151" s="4" customFormat="1" ht="14.25" customHeight="1" x14ac:dyDescent="0.3"/>
    <row r="152" s="4" customFormat="1" ht="14.25" customHeight="1" x14ac:dyDescent="0.3"/>
    <row r="153" s="4" customFormat="1" ht="14.25" customHeight="1" x14ac:dyDescent="0.3"/>
    <row r="154" s="4" customFormat="1" ht="14.25" customHeight="1" x14ac:dyDescent="0.3"/>
    <row r="155" s="4" customFormat="1" ht="14.25" customHeight="1" x14ac:dyDescent="0.3"/>
    <row r="156" s="4" customFormat="1" ht="14.25" customHeight="1" x14ac:dyDescent="0.3"/>
    <row r="157" s="4" customFormat="1" ht="14.25" customHeight="1" x14ac:dyDescent="0.3"/>
    <row r="158" s="4" customFormat="1" ht="14.25" customHeight="1" x14ac:dyDescent="0.3"/>
    <row r="159" s="4" customFormat="1" ht="14.25" customHeight="1" x14ac:dyDescent="0.3"/>
    <row r="160" s="4" customFormat="1" ht="14.25" customHeight="1" x14ac:dyDescent="0.3"/>
    <row r="161" s="4" customFormat="1" ht="14.25" customHeight="1" x14ac:dyDescent="0.3"/>
    <row r="162" s="4" customFormat="1" ht="14.25" customHeight="1" x14ac:dyDescent="0.3"/>
    <row r="163" s="4" customFormat="1" ht="14.25" customHeight="1" x14ac:dyDescent="0.3"/>
    <row r="164" s="4" customFormat="1" ht="14.25" customHeight="1" x14ac:dyDescent="0.3"/>
    <row r="165" s="4" customFormat="1" ht="14.25" customHeight="1" x14ac:dyDescent="0.3"/>
    <row r="166" s="4" customFormat="1" ht="14.25" customHeight="1" x14ac:dyDescent="0.3"/>
    <row r="167" s="4" customFormat="1" ht="14.25" customHeight="1" x14ac:dyDescent="0.3"/>
    <row r="168" s="4" customFormat="1" ht="14.25" customHeight="1" x14ac:dyDescent="0.3"/>
    <row r="169" s="4" customFormat="1" ht="14.25" customHeight="1" x14ac:dyDescent="0.3"/>
    <row r="170" s="4" customFormat="1" ht="14.25" customHeight="1" x14ac:dyDescent="0.3"/>
    <row r="171" s="4" customFormat="1" ht="14.25" customHeight="1" x14ac:dyDescent="0.3"/>
    <row r="172" s="4" customFormat="1" ht="14.25" customHeight="1" x14ac:dyDescent="0.3"/>
    <row r="173" s="4" customFormat="1" ht="14.25" customHeight="1" x14ac:dyDescent="0.3"/>
    <row r="174" s="4" customFormat="1" ht="14.25" customHeight="1" x14ac:dyDescent="0.3"/>
    <row r="175" s="4" customFormat="1" ht="14.25" customHeight="1" x14ac:dyDescent="0.3"/>
    <row r="176" s="4" customFormat="1" ht="14.25" customHeight="1" x14ac:dyDescent="0.3"/>
    <row r="177" s="4" customFormat="1" ht="14.25" customHeight="1" x14ac:dyDescent="0.3"/>
    <row r="178" s="4" customFormat="1" ht="14.25" customHeight="1" x14ac:dyDescent="0.3"/>
    <row r="179" s="4" customFormat="1" ht="14.25" customHeight="1" x14ac:dyDescent="0.3"/>
    <row r="180" s="4" customFormat="1" ht="14.25" customHeight="1" x14ac:dyDescent="0.3"/>
    <row r="181" s="4" customFormat="1" ht="14.25" customHeight="1" x14ac:dyDescent="0.3"/>
    <row r="182" s="4" customFormat="1" ht="14.25" customHeight="1" x14ac:dyDescent="0.3"/>
    <row r="183" s="4" customFormat="1" ht="14.25" customHeight="1" x14ac:dyDescent="0.3"/>
    <row r="184" s="4" customFormat="1" ht="14.25" customHeight="1" x14ac:dyDescent="0.3"/>
    <row r="185" s="4" customFormat="1" ht="14.25" customHeight="1" x14ac:dyDescent="0.3"/>
    <row r="186" s="4" customFormat="1" ht="14.25" customHeight="1" x14ac:dyDescent="0.3"/>
    <row r="187" s="4" customFormat="1" ht="14.25" customHeight="1" x14ac:dyDescent="0.3"/>
    <row r="188" s="4" customFormat="1" ht="14.25" customHeight="1" x14ac:dyDescent="0.3"/>
    <row r="189" s="4" customFormat="1" ht="14.25" customHeight="1" x14ac:dyDescent="0.3"/>
    <row r="190" s="4" customFormat="1" ht="14.25" customHeight="1" x14ac:dyDescent="0.3"/>
    <row r="191" s="4" customFormat="1" ht="14.25" customHeight="1" x14ac:dyDescent="0.3"/>
    <row r="192" s="4" customFormat="1" ht="14.25" customHeight="1" x14ac:dyDescent="0.3"/>
    <row r="193" s="4" customFormat="1" ht="14.25" customHeight="1" x14ac:dyDescent="0.3"/>
    <row r="194" s="4" customFormat="1" ht="14.25" customHeight="1" x14ac:dyDescent="0.3"/>
    <row r="195" s="4" customFormat="1" ht="14.25" customHeight="1" x14ac:dyDescent="0.3"/>
    <row r="196" s="4" customFormat="1" ht="14.25" customHeight="1" x14ac:dyDescent="0.3"/>
    <row r="197" s="4" customFormat="1" ht="14.25" customHeight="1" x14ac:dyDescent="0.3"/>
    <row r="198" s="4" customFormat="1" ht="14.25" customHeight="1" x14ac:dyDescent="0.3"/>
    <row r="199" s="4" customFormat="1" ht="14.25" customHeight="1" x14ac:dyDescent="0.3"/>
    <row r="200" s="4" customFormat="1" ht="14.25" customHeight="1" x14ac:dyDescent="0.3"/>
    <row r="201" s="4" customFormat="1" ht="14.25" customHeight="1" x14ac:dyDescent="0.3"/>
    <row r="202" s="4" customFormat="1" ht="14.25" customHeight="1" x14ac:dyDescent="0.3"/>
    <row r="203" s="4" customFormat="1" ht="14.25" customHeight="1" x14ac:dyDescent="0.3"/>
    <row r="204" s="4" customFormat="1" ht="14.25" customHeight="1" x14ac:dyDescent="0.3"/>
    <row r="205" s="4" customFormat="1" ht="14.25" customHeight="1" x14ac:dyDescent="0.3"/>
    <row r="206" s="4" customFormat="1" ht="14.25" customHeight="1" x14ac:dyDescent="0.3"/>
    <row r="207" s="4" customFormat="1" ht="14.25" customHeight="1" x14ac:dyDescent="0.3"/>
    <row r="208" s="4" customFormat="1" ht="14.25" customHeight="1" x14ac:dyDescent="0.3"/>
    <row r="209" s="4" customFormat="1" ht="14.25" customHeight="1" x14ac:dyDescent="0.3"/>
    <row r="210" s="4" customFormat="1" ht="14.25" customHeight="1" x14ac:dyDescent="0.3"/>
    <row r="211" s="4" customFormat="1" ht="14.25" customHeight="1" x14ac:dyDescent="0.3"/>
    <row r="212" s="4" customFormat="1" ht="14.25" customHeight="1" x14ac:dyDescent="0.3"/>
    <row r="213" s="4" customFormat="1" ht="14.25" customHeight="1" x14ac:dyDescent="0.3"/>
    <row r="214" s="4" customFormat="1" ht="14.25" customHeight="1" x14ac:dyDescent="0.3"/>
    <row r="215" s="4" customFormat="1" ht="14.25" customHeight="1" x14ac:dyDescent="0.3"/>
    <row r="216" s="4" customFormat="1" ht="14.25" customHeight="1" x14ac:dyDescent="0.3"/>
    <row r="217" s="4" customFormat="1" ht="14.25" customHeight="1" x14ac:dyDescent="0.3"/>
    <row r="218" s="4" customFormat="1" ht="14.25" customHeight="1" x14ac:dyDescent="0.3"/>
    <row r="219" s="4" customFormat="1" ht="14.25" customHeight="1" x14ac:dyDescent="0.3"/>
    <row r="220" s="4" customFormat="1" ht="14.25" customHeight="1" x14ac:dyDescent="0.3"/>
    <row r="221" s="4" customFormat="1" ht="14.25" customHeight="1" x14ac:dyDescent="0.3"/>
    <row r="222" s="4" customFormat="1" ht="14.25" customHeight="1" x14ac:dyDescent="0.3"/>
    <row r="223" s="4" customFormat="1" ht="14.25" customHeight="1" x14ac:dyDescent="0.3"/>
    <row r="224" s="4" customFormat="1" ht="14.25" customHeight="1" x14ac:dyDescent="0.3"/>
    <row r="225" s="4" customFormat="1" ht="14.25" customHeight="1" x14ac:dyDescent="0.3"/>
    <row r="226" s="4" customFormat="1" ht="14.25" customHeight="1" x14ac:dyDescent="0.3"/>
    <row r="227" s="4" customFormat="1" ht="14.25" customHeight="1" x14ac:dyDescent="0.3"/>
    <row r="228" s="4" customFormat="1" ht="14.25" customHeight="1" x14ac:dyDescent="0.3"/>
    <row r="229" s="4" customFormat="1" ht="14.25" customHeight="1" x14ac:dyDescent="0.3"/>
    <row r="230" s="4" customFormat="1" ht="14.25" customHeight="1" x14ac:dyDescent="0.3"/>
    <row r="231" s="4" customFormat="1" ht="14.25" customHeight="1" x14ac:dyDescent="0.3"/>
    <row r="232" s="4" customFormat="1" ht="14.25" customHeight="1" x14ac:dyDescent="0.3"/>
    <row r="233" s="4" customFormat="1" ht="14.25" customHeight="1" x14ac:dyDescent="0.3"/>
    <row r="234" s="4" customFormat="1" ht="14.25" customHeight="1" x14ac:dyDescent="0.3"/>
    <row r="235" s="4" customFormat="1" ht="14.25" customHeight="1" x14ac:dyDescent="0.3"/>
    <row r="236" s="4" customFormat="1" ht="14.25" customHeight="1" x14ac:dyDescent="0.3"/>
    <row r="237" s="4" customFormat="1" ht="14.25" customHeight="1" x14ac:dyDescent="0.3"/>
    <row r="238" s="4" customFormat="1" ht="14.25" customHeight="1" x14ac:dyDescent="0.3"/>
    <row r="239" s="4" customFormat="1" ht="14.25" customHeight="1" x14ac:dyDescent="0.3"/>
    <row r="240" s="4" customFormat="1" ht="14.25" customHeight="1" x14ac:dyDescent="0.3"/>
    <row r="241" s="4" customFormat="1" ht="14.25" customHeight="1" x14ac:dyDescent="0.3"/>
    <row r="242" s="4" customFormat="1" ht="14.25" customHeight="1" x14ac:dyDescent="0.3"/>
    <row r="243" s="4" customFormat="1" ht="14.25" customHeight="1" x14ac:dyDescent="0.3"/>
    <row r="244" s="4" customFormat="1" ht="14.25" customHeight="1" x14ac:dyDescent="0.3"/>
    <row r="245" s="4" customFormat="1" ht="14.25" customHeight="1" x14ac:dyDescent="0.3"/>
    <row r="246" s="4" customFormat="1" ht="14.25" customHeight="1" x14ac:dyDescent="0.3"/>
    <row r="247" s="4" customFormat="1" ht="14.25" customHeight="1" x14ac:dyDescent="0.3"/>
    <row r="248" s="4" customFormat="1" ht="14.25" customHeight="1" x14ac:dyDescent="0.3"/>
    <row r="249" s="4" customFormat="1" ht="14.25" customHeight="1" x14ac:dyDescent="0.3"/>
    <row r="250" s="4" customFormat="1" ht="14.25" customHeight="1" x14ac:dyDescent="0.3"/>
    <row r="251" s="4" customFormat="1" ht="14.25" customHeight="1" x14ac:dyDescent="0.3"/>
    <row r="252" s="4" customFormat="1" ht="14.25" customHeight="1" x14ac:dyDescent="0.3"/>
    <row r="253" s="4" customFormat="1" ht="14.25" customHeight="1" x14ac:dyDescent="0.3"/>
    <row r="254" s="4" customFormat="1" ht="14.25" customHeight="1" x14ac:dyDescent="0.3"/>
    <row r="255" s="4" customFormat="1" ht="14.25" customHeight="1" x14ac:dyDescent="0.3"/>
    <row r="256" s="4" customFormat="1" ht="14.25" customHeight="1" x14ac:dyDescent="0.3"/>
    <row r="257" s="4" customFormat="1" ht="14.25" customHeight="1" x14ac:dyDescent="0.3"/>
    <row r="258" s="4" customFormat="1" ht="14.25" customHeight="1" x14ac:dyDescent="0.3"/>
    <row r="259" s="4" customFormat="1" ht="14.25" customHeight="1" x14ac:dyDescent="0.3"/>
    <row r="260" s="4" customFormat="1" ht="14.25" customHeight="1" x14ac:dyDescent="0.3"/>
    <row r="261" s="4" customFormat="1" ht="14.25" customHeight="1" x14ac:dyDescent="0.3"/>
    <row r="262" s="4" customFormat="1" ht="14.25" customHeight="1" x14ac:dyDescent="0.3"/>
    <row r="263" s="4" customFormat="1" ht="14.25" customHeight="1" x14ac:dyDescent="0.3"/>
    <row r="264" s="4" customFormat="1" ht="14.25" customHeight="1" x14ac:dyDescent="0.3"/>
    <row r="265" s="4" customFormat="1" ht="14.25" customHeight="1" x14ac:dyDescent="0.3"/>
    <row r="266" s="4" customFormat="1" ht="14.25" customHeight="1" x14ac:dyDescent="0.3"/>
    <row r="267" s="4" customFormat="1" ht="14.25" customHeight="1" x14ac:dyDescent="0.3"/>
    <row r="268" s="4" customFormat="1" ht="14.25" customHeight="1" x14ac:dyDescent="0.3"/>
    <row r="269" s="4" customFormat="1" ht="14.25" customHeight="1" x14ac:dyDescent="0.3"/>
    <row r="270" s="4" customFormat="1" ht="14.25" customHeight="1" x14ac:dyDescent="0.3"/>
    <row r="271" s="4" customFormat="1" ht="14.25" customHeight="1" x14ac:dyDescent="0.3"/>
    <row r="272" s="4" customFormat="1" ht="14.25" customHeight="1" x14ac:dyDescent="0.3"/>
    <row r="273" s="4" customFormat="1" ht="14.25" customHeight="1" x14ac:dyDescent="0.3"/>
    <row r="274" s="4" customFormat="1" ht="14.25" customHeight="1" x14ac:dyDescent="0.3"/>
    <row r="275" s="4" customFormat="1" ht="14.25" customHeight="1" x14ac:dyDescent="0.3"/>
    <row r="276" s="4" customFormat="1" ht="14.25" customHeight="1" x14ac:dyDescent="0.3"/>
    <row r="277" s="4" customFormat="1" ht="14.25" customHeight="1" x14ac:dyDescent="0.3"/>
    <row r="278" s="4" customFormat="1" ht="14.25" customHeight="1" x14ac:dyDescent="0.3"/>
    <row r="279" s="4" customFormat="1" ht="14.25" customHeight="1" x14ac:dyDescent="0.3"/>
    <row r="280" s="4" customFormat="1" ht="14.25" customHeight="1" x14ac:dyDescent="0.3"/>
    <row r="281" s="4" customFormat="1" ht="14.25" customHeight="1" x14ac:dyDescent="0.3"/>
    <row r="282" s="4" customFormat="1" ht="14.25" customHeight="1" x14ac:dyDescent="0.3"/>
    <row r="283" s="4" customFormat="1" ht="14.25" customHeight="1" x14ac:dyDescent="0.3"/>
    <row r="284" s="4" customFormat="1" ht="14.25" customHeight="1" x14ac:dyDescent="0.3"/>
    <row r="285" s="4" customFormat="1" ht="14.25" customHeight="1" x14ac:dyDescent="0.3"/>
    <row r="286" s="4" customFormat="1" ht="14.25" customHeight="1" x14ac:dyDescent="0.3"/>
    <row r="287" s="4" customFormat="1" ht="14.25" customHeight="1" x14ac:dyDescent="0.3"/>
    <row r="288" s="4" customFormat="1" ht="14.25" customHeight="1" x14ac:dyDescent="0.3"/>
    <row r="289" s="4" customFormat="1" ht="14.25" customHeight="1" x14ac:dyDescent="0.3"/>
    <row r="290" s="4" customFormat="1" ht="14.25" customHeight="1" x14ac:dyDescent="0.3"/>
    <row r="291" s="4" customFormat="1" ht="14.25" customHeight="1" x14ac:dyDescent="0.3"/>
    <row r="292" s="4" customFormat="1" ht="14.25" customHeight="1" x14ac:dyDescent="0.3"/>
    <row r="293" s="4" customFormat="1" ht="14.25" customHeight="1" x14ac:dyDescent="0.3"/>
    <row r="294" s="4" customFormat="1" ht="14.25" customHeight="1" x14ac:dyDescent="0.3"/>
    <row r="295" s="4" customFormat="1" ht="14.25" customHeight="1" x14ac:dyDescent="0.3"/>
    <row r="296" s="4" customFormat="1" ht="14.25" customHeight="1" x14ac:dyDescent="0.3"/>
    <row r="297" s="4" customFormat="1" ht="14.25" customHeight="1" x14ac:dyDescent="0.3"/>
    <row r="298" s="4" customFormat="1" ht="14.25" customHeight="1" x14ac:dyDescent="0.3"/>
    <row r="299" s="4" customFormat="1" ht="14.25" customHeight="1" x14ac:dyDescent="0.3"/>
    <row r="300" s="4" customFormat="1" ht="14.25" customHeight="1" x14ac:dyDescent="0.3"/>
    <row r="301" s="4" customFormat="1" ht="14.25" customHeight="1" x14ac:dyDescent="0.3"/>
    <row r="302" s="4" customFormat="1" ht="14.25" customHeight="1" x14ac:dyDescent="0.3"/>
    <row r="303" s="4" customFormat="1" ht="14.25" customHeight="1" x14ac:dyDescent="0.3"/>
    <row r="304" s="4" customFormat="1" ht="14.25" customHeight="1" x14ac:dyDescent="0.3"/>
    <row r="305" s="4" customFormat="1" ht="14.25" customHeight="1" x14ac:dyDescent="0.3"/>
    <row r="306" s="4" customFormat="1" ht="14.25" customHeight="1" x14ac:dyDescent="0.3"/>
    <row r="307" s="4" customFormat="1" ht="14.25" customHeight="1" x14ac:dyDescent="0.3"/>
    <row r="308" s="4" customFormat="1" ht="14.25" customHeight="1" x14ac:dyDescent="0.3"/>
    <row r="309" s="4" customFormat="1" ht="14.25" customHeight="1" x14ac:dyDescent="0.3"/>
    <row r="310" s="4" customFormat="1" ht="14.25" customHeight="1" x14ac:dyDescent="0.3"/>
    <row r="311" s="4" customFormat="1" ht="14.25" customHeight="1" x14ac:dyDescent="0.3"/>
    <row r="312" s="4" customFormat="1" ht="14.25" customHeight="1" x14ac:dyDescent="0.3"/>
    <row r="313" s="4" customFormat="1" ht="14.25" customHeight="1" x14ac:dyDescent="0.3"/>
    <row r="314" s="4" customFormat="1" ht="14.25" customHeight="1" x14ac:dyDescent="0.3"/>
    <row r="315" s="4" customFormat="1" ht="14.25" customHeight="1" x14ac:dyDescent="0.3"/>
    <row r="316" s="4" customFormat="1" ht="14.25" customHeight="1" x14ac:dyDescent="0.3"/>
    <row r="317" s="4" customFormat="1" ht="14.25" customHeight="1" x14ac:dyDescent="0.3"/>
    <row r="318" s="4" customFormat="1" ht="14.25" customHeight="1" x14ac:dyDescent="0.3"/>
    <row r="319" s="4" customFormat="1" ht="14.25" customHeight="1" x14ac:dyDescent="0.3"/>
    <row r="320" s="4" customFormat="1" ht="14.25" customHeight="1" x14ac:dyDescent="0.3"/>
    <row r="321" s="4" customFormat="1" ht="14.25" customHeight="1" x14ac:dyDescent="0.3"/>
    <row r="322" s="4" customFormat="1" ht="14.25" customHeight="1" x14ac:dyDescent="0.3"/>
    <row r="323" s="4" customFormat="1" ht="14.25" customHeight="1" x14ac:dyDescent="0.3"/>
    <row r="324" s="4" customFormat="1" ht="14.25" customHeight="1" x14ac:dyDescent="0.3"/>
    <row r="325" s="4" customFormat="1" ht="14.25" customHeight="1" x14ac:dyDescent="0.3"/>
    <row r="326" s="4" customFormat="1" ht="14.25" customHeight="1" x14ac:dyDescent="0.3"/>
    <row r="327" s="4" customFormat="1" ht="14.25" customHeight="1" x14ac:dyDescent="0.3"/>
    <row r="328" s="4" customFormat="1" ht="14.25" customHeight="1" x14ac:dyDescent="0.3"/>
    <row r="329" s="4" customFormat="1" ht="14.25" customHeight="1" x14ac:dyDescent="0.3"/>
    <row r="330" s="4" customFormat="1" ht="14.25" customHeight="1" x14ac:dyDescent="0.3"/>
    <row r="331" s="4" customFormat="1" ht="14.25" customHeight="1" x14ac:dyDescent="0.3"/>
    <row r="332" s="4" customFormat="1" ht="14.25" customHeight="1" x14ac:dyDescent="0.3"/>
    <row r="333" s="4" customFormat="1" ht="14.25" customHeight="1" x14ac:dyDescent="0.3"/>
    <row r="334" s="4" customFormat="1" ht="14.25" customHeight="1" x14ac:dyDescent="0.3"/>
    <row r="335" s="4" customFormat="1" ht="14.25" customHeight="1" x14ac:dyDescent="0.3"/>
    <row r="336" s="4" customFormat="1" ht="14.25" customHeight="1" x14ac:dyDescent="0.3"/>
    <row r="337" s="4" customFormat="1" ht="14.25" customHeight="1" x14ac:dyDescent="0.3"/>
    <row r="338" s="4" customFormat="1" ht="14.25" customHeight="1" x14ac:dyDescent="0.3"/>
    <row r="339" s="4" customFormat="1" ht="14.25" customHeight="1" x14ac:dyDescent="0.3"/>
    <row r="340" s="4" customFormat="1" ht="14.25" customHeight="1" x14ac:dyDescent="0.3"/>
    <row r="341" s="4" customFormat="1" ht="14.25" customHeight="1" x14ac:dyDescent="0.3"/>
    <row r="342" s="4" customFormat="1" ht="14.25" customHeight="1" x14ac:dyDescent="0.3"/>
    <row r="343" s="4" customFormat="1" ht="14.25" customHeight="1" x14ac:dyDescent="0.3"/>
    <row r="344" s="4" customFormat="1" ht="14.25" customHeight="1" x14ac:dyDescent="0.3"/>
    <row r="345" s="4" customFormat="1" ht="14.25" customHeight="1" x14ac:dyDescent="0.3"/>
    <row r="346" s="4" customFormat="1" ht="14.25" customHeight="1" x14ac:dyDescent="0.3"/>
    <row r="347" s="4" customFormat="1" ht="14.25" customHeight="1" x14ac:dyDescent="0.3"/>
    <row r="348" s="4" customFormat="1" ht="14.25" customHeight="1" x14ac:dyDescent="0.3"/>
    <row r="349" s="4" customFormat="1" ht="14.25" customHeight="1" x14ac:dyDescent="0.3"/>
    <row r="350" s="4" customFormat="1" ht="14.25" customHeight="1" x14ac:dyDescent="0.3"/>
    <row r="351" s="4" customFormat="1" ht="14.25" customHeight="1" x14ac:dyDescent="0.3"/>
    <row r="352" s="4" customFormat="1" ht="14.25" customHeight="1" x14ac:dyDescent="0.3"/>
    <row r="353" s="4" customFormat="1" ht="14.25" customHeight="1" x14ac:dyDescent="0.3"/>
    <row r="354" s="4" customFormat="1" ht="14.25" customHeight="1" x14ac:dyDescent="0.3"/>
    <row r="355" s="4" customFormat="1" ht="14.25" customHeight="1" x14ac:dyDescent="0.3"/>
    <row r="356" s="4" customFormat="1" ht="14.25" customHeight="1" x14ac:dyDescent="0.3"/>
    <row r="357" s="4" customFormat="1" ht="14.25" customHeight="1" x14ac:dyDescent="0.3"/>
    <row r="358" s="4" customFormat="1" ht="14.25" customHeight="1" x14ac:dyDescent="0.3"/>
    <row r="359" s="4" customFormat="1" ht="14.25" customHeight="1" x14ac:dyDescent="0.3"/>
    <row r="360" s="4" customFormat="1" ht="14.25" customHeight="1" x14ac:dyDescent="0.3"/>
    <row r="361" s="4" customFormat="1" ht="14.25" customHeight="1" x14ac:dyDescent="0.3"/>
    <row r="362" s="4" customFormat="1" ht="14.25" customHeight="1" x14ac:dyDescent="0.3"/>
    <row r="363" s="4" customFormat="1" ht="14.25" customHeight="1" x14ac:dyDescent="0.3"/>
    <row r="364" s="4" customFormat="1" ht="14.25" customHeight="1" x14ac:dyDescent="0.3"/>
    <row r="365" s="4" customFormat="1" ht="14.25" customHeight="1" x14ac:dyDescent="0.3"/>
    <row r="366" s="4" customFormat="1" ht="14.25" customHeight="1" x14ac:dyDescent="0.3"/>
    <row r="367" s="4" customFormat="1" ht="14.25" customHeight="1" x14ac:dyDescent="0.3"/>
    <row r="368" s="4" customFormat="1" ht="14.25" customHeight="1" x14ac:dyDescent="0.3"/>
    <row r="369" s="4" customFormat="1" ht="14.25" customHeight="1" x14ac:dyDescent="0.3"/>
    <row r="370" s="4" customFormat="1" ht="14.25" customHeight="1" x14ac:dyDescent="0.3"/>
    <row r="371" s="4" customFormat="1" ht="14.25" customHeight="1" x14ac:dyDescent="0.3"/>
    <row r="372" s="4" customFormat="1" ht="14.25" customHeight="1" x14ac:dyDescent="0.3"/>
    <row r="373" s="4" customFormat="1" ht="14.25" customHeight="1" x14ac:dyDescent="0.3"/>
    <row r="374" s="4" customFormat="1" ht="14.25" customHeight="1" x14ac:dyDescent="0.3"/>
    <row r="375" s="4" customFormat="1" ht="14.25" customHeight="1" x14ac:dyDescent="0.3"/>
    <row r="376" s="4" customFormat="1" ht="14.25" customHeight="1" x14ac:dyDescent="0.3"/>
    <row r="377" s="4" customFormat="1" ht="14.25" customHeight="1" x14ac:dyDescent="0.3"/>
    <row r="378" s="4" customFormat="1" ht="14.25" customHeight="1" x14ac:dyDescent="0.3"/>
    <row r="379" s="4" customFormat="1" ht="14.25" customHeight="1" x14ac:dyDescent="0.3"/>
    <row r="380" s="4" customFormat="1" ht="14.25" customHeight="1" x14ac:dyDescent="0.3"/>
    <row r="381" s="4" customFormat="1" ht="14.25" customHeight="1" x14ac:dyDescent="0.3"/>
    <row r="382" s="4" customFormat="1" ht="14.25" customHeight="1" x14ac:dyDescent="0.3"/>
    <row r="383" s="4" customFormat="1" ht="14.25" customHeight="1" x14ac:dyDescent="0.3"/>
    <row r="384" s="4" customFormat="1" ht="14.25" customHeight="1" x14ac:dyDescent="0.3"/>
    <row r="385" s="4" customFormat="1" ht="14.25" customHeight="1" x14ac:dyDescent="0.3"/>
    <row r="386" s="4" customFormat="1" ht="14.25" customHeight="1" x14ac:dyDescent="0.3"/>
    <row r="387" s="4" customFormat="1" ht="14.25" customHeight="1" x14ac:dyDescent="0.3"/>
    <row r="388" s="4" customFormat="1" ht="14.25" customHeight="1" x14ac:dyDescent="0.3"/>
    <row r="389" s="4" customFormat="1" ht="14.25" customHeight="1" x14ac:dyDescent="0.3"/>
    <row r="390" s="4" customFormat="1" ht="14.25" customHeight="1" x14ac:dyDescent="0.3"/>
    <row r="391" s="4" customFormat="1" ht="14.25" customHeight="1" x14ac:dyDescent="0.3"/>
    <row r="392" s="4" customFormat="1" ht="14.25" customHeight="1" x14ac:dyDescent="0.3"/>
    <row r="393" s="4" customFormat="1" ht="14.25" customHeight="1" x14ac:dyDescent="0.3"/>
    <row r="394" s="4" customFormat="1" ht="14.25" customHeight="1" x14ac:dyDescent="0.3"/>
    <row r="395" s="4" customFormat="1" ht="14.25" customHeight="1" x14ac:dyDescent="0.3"/>
    <row r="396" s="4" customFormat="1" ht="14.25" customHeight="1" x14ac:dyDescent="0.3"/>
    <row r="397" s="4" customFormat="1" ht="14.25" customHeight="1" x14ac:dyDescent="0.3"/>
    <row r="398" s="4" customFormat="1" ht="14.25" customHeight="1" x14ac:dyDescent="0.3"/>
    <row r="399" s="4" customFormat="1" ht="14.25" customHeight="1" x14ac:dyDescent="0.3"/>
    <row r="400" s="4" customFormat="1" ht="14.25" customHeight="1" x14ac:dyDescent="0.3"/>
    <row r="401" s="4" customFormat="1" ht="14.25" customHeight="1" x14ac:dyDescent="0.3"/>
    <row r="402" s="4" customFormat="1" ht="14.25" customHeight="1" x14ac:dyDescent="0.3"/>
    <row r="403" s="4" customFormat="1" ht="14.25" customHeight="1" x14ac:dyDescent="0.3"/>
    <row r="404" s="4" customFormat="1" ht="14.25" customHeight="1" x14ac:dyDescent="0.3"/>
    <row r="405" s="4" customFormat="1" ht="14.25" customHeight="1" x14ac:dyDescent="0.3"/>
    <row r="406" s="4" customFormat="1" ht="14.25" customHeight="1" x14ac:dyDescent="0.3"/>
    <row r="407" s="4" customFormat="1" ht="14.25" customHeight="1" x14ac:dyDescent="0.3"/>
    <row r="408" s="4" customFormat="1" ht="14.25" customHeight="1" x14ac:dyDescent="0.3"/>
    <row r="409" s="4" customFormat="1" ht="14.25" customHeight="1" x14ac:dyDescent="0.3"/>
    <row r="410" s="4" customFormat="1" ht="14.25" customHeight="1" x14ac:dyDescent="0.3"/>
    <row r="411" s="4" customFormat="1" ht="14.25" customHeight="1" x14ac:dyDescent="0.3"/>
    <row r="412" s="4" customFormat="1" ht="14.25" customHeight="1" x14ac:dyDescent="0.3"/>
    <row r="413" s="4" customFormat="1" ht="14.25" customHeight="1" x14ac:dyDescent="0.3"/>
    <row r="414" s="4" customFormat="1" ht="14.25" customHeight="1" x14ac:dyDescent="0.3"/>
    <row r="415" s="4" customFormat="1" ht="14.25" customHeight="1" x14ac:dyDescent="0.3"/>
    <row r="416" s="4" customFormat="1" ht="14.25" customHeight="1" x14ac:dyDescent="0.3"/>
    <row r="417" s="4" customFormat="1" ht="14.25" customHeight="1" x14ac:dyDescent="0.3"/>
    <row r="418" s="4" customFormat="1" ht="14.25" customHeight="1" x14ac:dyDescent="0.3"/>
    <row r="419" s="4" customFormat="1" ht="14.25" customHeight="1" x14ac:dyDescent="0.3"/>
    <row r="420" s="4" customFormat="1" ht="14.25" customHeight="1" x14ac:dyDescent="0.3"/>
    <row r="421" s="4" customFormat="1" ht="14.25" customHeight="1" x14ac:dyDescent="0.3"/>
    <row r="422" s="4" customFormat="1" ht="14.25" customHeight="1" x14ac:dyDescent="0.3"/>
    <row r="423" s="4" customFormat="1" ht="14.25" customHeight="1" x14ac:dyDescent="0.3"/>
    <row r="424" s="4" customFormat="1" ht="14.25" customHeight="1" x14ac:dyDescent="0.3"/>
    <row r="425" s="4" customFormat="1" ht="14.25" customHeight="1" x14ac:dyDescent="0.3"/>
    <row r="426" s="4" customFormat="1" ht="14.25" customHeight="1" x14ac:dyDescent="0.3"/>
    <row r="427" s="4" customFormat="1" ht="14.25" customHeight="1" x14ac:dyDescent="0.3"/>
    <row r="428" s="4" customFormat="1" ht="14.25" customHeight="1" x14ac:dyDescent="0.3"/>
    <row r="429" s="4" customFormat="1" ht="14.25" customHeight="1" x14ac:dyDescent="0.3"/>
    <row r="430" s="4" customFormat="1" ht="14.25" customHeight="1" x14ac:dyDescent="0.3"/>
    <row r="431" s="4" customFormat="1" ht="14.25" customHeight="1" x14ac:dyDescent="0.3"/>
    <row r="432" s="4" customFormat="1" ht="14.25" customHeight="1" x14ac:dyDescent="0.3"/>
    <row r="433" s="4" customFormat="1" ht="14.25" customHeight="1" x14ac:dyDescent="0.3"/>
    <row r="434" s="4" customFormat="1" ht="14.25" customHeight="1" x14ac:dyDescent="0.3"/>
    <row r="435" s="4" customFormat="1" ht="14.25" customHeight="1" x14ac:dyDescent="0.3"/>
    <row r="436" s="4" customFormat="1" ht="14.25" customHeight="1" x14ac:dyDescent="0.3"/>
    <row r="437" s="4" customFormat="1" ht="14.25" customHeight="1" x14ac:dyDescent="0.3"/>
    <row r="438" s="4" customFormat="1" ht="14.25" customHeight="1" x14ac:dyDescent="0.3"/>
    <row r="439" s="4" customFormat="1" ht="14.25" customHeight="1" x14ac:dyDescent="0.3"/>
    <row r="440" s="4" customFormat="1" ht="14.25" customHeight="1" x14ac:dyDescent="0.3"/>
    <row r="441" s="4" customFormat="1" ht="14.25" customHeight="1" x14ac:dyDescent="0.3"/>
    <row r="442" s="4" customFormat="1" ht="14.25" customHeight="1" x14ac:dyDescent="0.3"/>
    <row r="443" s="4" customFormat="1" ht="14.25" customHeight="1" x14ac:dyDescent="0.3"/>
    <row r="444" s="4" customFormat="1" ht="14.25" customHeight="1" x14ac:dyDescent="0.3"/>
    <row r="445" s="4" customFormat="1" ht="14.25" customHeight="1" x14ac:dyDescent="0.3"/>
    <row r="446" s="4" customFormat="1" ht="14.25" customHeight="1" x14ac:dyDescent="0.3"/>
    <row r="447" s="4" customFormat="1" ht="14.25" customHeight="1" x14ac:dyDescent="0.3"/>
    <row r="448" s="4" customFormat="1" ht="14.25" customHeight="1" x14ac:dyDescent="0.3"/>
    <row r="449" s="4" customFormat="1" ht="14.25" customHeight="1" x14ac:dyDescent="0.3"/>
    <row r="450" s="4" customFormat="1" ht="14.25" customHeight="1" x14ac:dyDescent="0.3"/>
    <row r="451" s="4" customFormat="1" ht="14.25" customHeight="1" x14ac:dyDescent="0.3"/>
    <row r="452" s="4" customFormat="1" ht="14.25" customHeight="1" x14ac:dyDescent="0.3"/>
    <row r="453" s="4" customFormat="1" ht="14.25" customHeight="1" x14ac:dyDescent="0.3"/>
    <row r="454" s="4" customFormat="1" ht="14.25" customHeight="1" x14ac:dyDescent="0.3"/>
    <row r="455" s="4" customFormat="1" ht="14.25" customHeight="1" x14ac:dyDescent="0.3"/>
    <row r="456" s="4" customFormat="1" ht="14.25" customHeight="1" x14ac:dyDescent="0.3"/>
    <row r="457" s="4" customFormat="1" ht="14.25" customHeight="1" x14ac:dyDescent="0.3"/>
    <row r="458" s="4" customFormat="1" ht="14.25" customHeight="1" x14ac:dyDescent="0.3"/>
    <row r="459" s="4" customFormat="1" ht="14.25" customHeight="1" x14ac:dyDescent="0.3"/>
    <row r="460" s="4" customFormat="1" ht="14.25" customHeight="1" x14ac:dyDescent="0.3"/>
    <row r="461" s="4" customFormat="1" ht="14.25" customHeight="1" x14ac:dyDescent="0.3"/>
    <row r="462" s="4" customFormat="1" ht="14.25" customHeight="1" x14ac:dyDescent="0.3"/>
    <row r="463" s="4" customFormat="1" ht="14.25" customHeight="1" x14ac:dyDescent="0.3"/>
    <row r="464" s="4" customFormat="1" ht="14.25" customHeight="1" x14ac:dyDescent="0.3"/>
    <row r="465" s="4" customFormat="1" ht="14.25" customHeight="1" x14ac:dyDescent="0.3"/>
    <row r="466" s="4" customFormat="1" ht="14.25" customHeight="1" x14ac:dyDescent="0.3"/>
    <row r="467" s="4" customFormat="1" ht="14.25" customHeight="1" x14ac:dyDescent="0.3"/>
    <row r="468" s="4" customFormat="1" ht="14.25" customHeight="1" x14ac:dyDescent="0.3"/>
    <row r="469" s="4" customFormat="1" ht="14.25" customHeight="1" x14ac:dyDescent="0.3"/>
    <row r="470" s="4" customFormat="1" ht="14.25" customHeight="1" x14ac:dyDescent="0.3"/>
    <row r="471" s="4" customFormat="1" ht="14.25" customHeight="1" x14ac:dyDescent="0.3"/>
    <row r="472" s="4" customFormat="1" ht="14.25" customHeight="1" x14ac:dyDescent="0.3"/>
    <row r="473" s="4" customFormat="1" ht="14.25" customHeight="1" x14ac:dyDescent="0.3"/>
    <row r="474" s="4" customFormat="1" ht="14.25" customHeight="1" x14ac:dyDescent="0.3"/>
    <row r="475" s="4" customFormat="1" ht="14.25" customHeight="1" x14ac:dyDescent="0.3"/>
    <row r="476" s="4" customFormat="1" ht="14.25" customHeight="1" x14ac:dyDescent="0.3"/>
    <row r="477" s="4" customFormat="1" ht="14.25" customHeight="1" x14ac:dyDescent="0.3"/>
    <row r="478" s="4" customFormat="1" ht="14.25" customHeight="1" x14ac:dyDescent="0.3"/>
    <row r="479" s="4" customFormat="1" ht="14.25" customHeight="1" x14ac:dyDescent="0.3"/>
    <row r="480" s="4" customFormat="1" ht="14.25" customHeight="1" x14ac:dyDescent="0.3"/>
    <row r="481" s="4" customFormat="1" ht="14.25" customHeight="1" x14ac:dyDescent="0.3"/>
    <row r="482" s="4" customFormat="1" ht="14.25" customHeight="1" x14ac:dyDescent="0.3"/>
    <row r="483" s="4" customFormat="1" ht="14.25" customHeight="1" x14ac:dyDescent="0.3"/>
    <row r="484" s="4" customFormat="1" ht="14.25" customHeight="1" x14ac:dyDescent="0.3"/>
    <row r="485" s="4" customFormat="1" ht="14.25" customHeight="1" x14ac:dyDescent="0.3"/>
    <row r="486" s="4" customFormat="1" ht="14.25" customHeight="1" x14ac:dyDescent="0.3"/>
    <row r="487" s="4" customFormat="1" ht="14.25" customHeight="1" x14ac:dyDescent="0.3"/>
    <row r="488" s="4" customFormat="1" ht="14.25" customHeight="1" x14ac:dyDescent="0.3"/>
    <row r="489" s="4" customFormat="1" ht="14.25" customHeight="1" x14ac:dyDescent="0.3"/>
    <row r="490" s="4" customFormat="1" ht="14.25" customHeight="1" x14ac:dyDescent="0.3"/>
    <row r="491" s="4" customFormat="1" ht="14.25" customHeight="1" x14ac:dyDescent="0.3"/>
    <row r="492" s="4" customFormat="1" ht="14.25" customHeight="1" x14ac:dyDescent="0.3"/>
    <row r="493" s="4" customFormat="1" ht="14.25" customHeight="1" x14ac:dyDescent="0.3"/>
    <row r="494" s="4" customFormat="1" ht="14.25" customHeight="1" x14ac:dyDescent="0.3"/>
    <row r="495" s="4" customFormat="1" ht="14.25" customHeight="1" x14ac:dyDescent="0.3"/>
    <row r="496" s="4" customFormat="1" ht="14.25" customHeight="1" x14ac:dyDescent="0.3"/>
    <row r="497" s="4" customFormat="1" ht="14.25" customHeight="1" x14ac:dyDescent="0.3"/>
    <row r="498" s="4" customFormat="1" ht="14.25" customHeight="1" x14ac:dyDescent="0.3"/>
    <row r="499" s="4" customFormat="1" ht="14.25" customHeight="1" x14ac:dyDescent="0.3"/>
    <row r="500" s="4" customFormat="1" ht="14.25" customHeight="1" x14ac:dyDescent="0.3"/>
    <row r="501" s="4" customFormat="1" ht="14.25" customHeight="1" x14ac:dyDescent="0.3"/>
    <row r="502" s="4" customFormat="1" ht="14.25" customHeight="1" x14ac:dyDescent="0.3"/>
    <row r="503" s="4" customFormat="1" ht="14.25" customHeight="1" x14ac:dyDescent="0.3"/>
    <row r="504" s="4" customFormat="1" ht="14.25" customHeight="1" x14ac:dyDescent="0.3"/>
    <row r="505" s="4" customFormat="1" ht="14.25" customHeight="1" x14ac:dyDescent="0.3"/>
    <row r="506" s="4" customFormat="1" ht="14.25" customHeight="1" x14ac:dyDescent="0.3"/>
    <row r="507" s="4" customFormat="1" ht="14.25" customHeight="1" x14ac:dyDescent="0.3"/>
    <row r="508" s="4" customFormat="1" ht="14.25" customHeight="1" x14ac:dyDescent="0.3"/>
    <row r="509" s="4" customFormat="1" ht="14.25" customHeight="1" x14ac:dyDescent="0.3"/>
    <row r="510" s="4" customFormat="1" ht="14.25" customHeight="1" x14ac:dyDescent="0.3"/>
    <row r="511" s="4" customFormat="1" ht="14.25" customHeight="1" x14ac:dyDescent="0.3"/>
    <row r="512" s="4" customFormat="1" ht="14.25" customHeight="1" x14ac:dyDescent="0.3"/>
    <row r="513" s="4" customFormat="1" ht="14.25" customHeight="1" x14ac:dyDescent="0.3"/>
    <row r="514" s="4" customFormat="1" ht="14.25" customHeight="1" x14ac:dyDescent="0.3"/>
    <row r="515" s="4" customFormat="1" ht="14.25" customHeight="1" x14ac:dyDescent="0.3"/>
    <row r="516" s="4" customFormat="1" ht="14.25" customHeight="1" x14ac:dyDescent="0.3"/>
    <row r="517" s="4" customFormat="1" ht="14.25" customHeight="1" x14ac:dyDescent="0.3"/>
    <row r="518" s="4" customFormat="1" ht="14.25" customHeight="1" x14ac:dyDescent="0.3"/>
    <row r="519" s="4" customFormat="1" ht="14.25" customHeight="1" x14ac:dyDescent="0.3"/>
    <row r="520" s="4" customFormat="1" ht="14.25" customHeight="1" x14ac:dyDescent="0.3"/>
    <row r="521" s="4" customFormat="1" ht="14.25" customHeight="1" x14ac:dyDescent="0.3"/>
    <row r="522" s="4" customFormat="1" ht="14.25" customHeight="1" x14ac:dyDescent="0.3"/>
    <row r="523" s="4" customFormat="1" ht="14.25" customHeight="1" x14ac:dyDescent="0.3"/>
    <row r="524" s="4" customFormat="1" ht="14.25" customHeight="1" x14ac:dyDescent="0.3"/>
    <row r="525" s="4" customFormat="1" ht="14.25" customHeight="1" x14ac:dyDescent="0.3"/>
    <row r="526" s="4" customFormat="1" ht="14.25" customHeight="1" x14ac:dyDescent="0.3"/>
    <row r="527" s="4" customFormat="1" ht="14.25" customHeight="1" x14ac:dyDescent="0.3"/>
    <row r="528" s="4" customFormat="1" ht="14.25" customHeight="1" x14ac:dyDescent="0.3"/>
    <row r="529" s="4" customFormat="1" ht="14.25" customHeight="1" x14ac:dyDescent="0.3"/>
    <row r="530" s="4" customFormat="1" ht="14.25" customHeight="1" x14ac:dyDescent="0.3"/>
    <row r="531" s="4" customFormat="1" ht="14.25" customHeight="1" x14ac:dyDescent="0.3"/>
    <row r="532" s="4" customFormat="1" ht="14.25" customHeight="1" x14ac:dyDescent="0.3"/>
    <row r="533" s="4" customFormat="1" ht="14.25" customHeight="1" x14ac:dyDescent="0.3"/>
    <row r="534" s="4" customFormat="1" ht="14.25" customHeight="1" x14ac:dyDescent="0.3"/>
    <row r="535" s="4" customFormat="1" ht="14.25" customHeight="1" x14ac:dyDescent="0.3"/>
    <row r="536" s="4" customFormat="1" ht="14.25" customHeight="1" x14ac:dyDescent="0.3"/>
    <row r="537" s="4" customFormat="1" ht="14.25" customHeight="1" x14ac:dyDescent="0.3"/>
    <row r="538" s="4" customFormat="1" ht="14.25" customHeight="1" x14ac:dyDescent="0.3"/>
    <row r="539" s="4" customFormat="1" ht="14.25" customHeight="1" x14ac:dyDescent="0.3"/>
    <row r="540" s="4" customFormat="1" ht="14.25" customHeight="1" x14ac:dyDescent="0.3"/>
    <row r="541" s="4" customFormat="1" ht="14.25" customHeight="1" x14ac:dyDescent="0.3"/>
    <row r="542" s="4" customFormat="1" ht="14.25" customHeight="1" x14ac:dyDescent="0.3"/>
    <row r="543" s="4" customFormat="1" ht="14.25" customHeight="1" x14ac:dyDescent="0.3"/>
    <row r="544" s="4" customFormat="1" ht="14.25" customHeight="1" x14ac:dyDescent="0.3"/>
    <row r="545" s="4" customFormat="1" ht="14.25" customHeight="1" x14ac:dyDescent="0.3"/>
    <row r="546" s="4" customFormat="1" ht="14.25" customHeight="1" x14ac:dyDescent="0.3"/>
    <row r="547" s="4" customFormat="1" ht="14.25" customHeight="1" x14ac:dyDescent="0.3"/>
    <row r="548" s="4" customFormat="1" ht="14.25" customHeight="1" x14ac:dyDescent="0.3"/>
    <row r="549" s="4" customFormat="1" ht="14.25" customHeight="1" x14ac:dyDescent="0.3"/>
    <row r="550" s="4" customFormat="1" ht="14.25" customHeight="1" x14ac:dyDescent="0.3"/>
    <row r="551" s="4" customFormat="1" ht="14.25" customHeight="1" x14ac:dyDescent="0.3"/>
    <row r="552" s="4" customFormat="1" ht="14.25" customHeight="1" x14ac:dyDescent="0.3"/>
    <row r="553" s="4" customFormat="1" ht="14.25" customHeight="1" x14ac:dyDescent="0.3"/>
    <row r="554" s="4" customFormat="1" ht="14.25" customHeight="1" x14ac:dyDescent="0.3"/>
    <row r="555" s="4" customFormat="1" ht="14.25" customHeight="1" x14ac:dyDescent="0.3"/>
    <row r="556" s="4" customFormat="1" ht="14.25" customHeight="1" x14ac:dyDescent="0.3"/>
    <row r="557" s="4" customFormat="1" ht="14.25" customHeight="1" x14ac:dyDescent="0.3"/>
    <row r="558" s="4" customFormat="1" ht="14.25" customHeight="1" x14ac:dyDescent="0.3"/>
    <row r="559" s="4" customFormat="1" ht="14.25" customHeight="1" x14ac:dyDescent="0.3"/>
    <row r="560" s="4" customFormat="1" ht="14.25" customHeight="1" x14ac:dyDescent="0.3"/>
    <row r="561" s="4" customFormat="1" ht="14.25" customHeight="1" x14ac:dyDescent="0.3"/>
    <row r="562" s="4" customFormat="1" ht="14.25" customHeight="1" x14ac:dyDescent="0.3"/>
    <row r="563" s="4" customFormat="1" ht="14.25" customHeight="1" x14ac:dyDescent="0.3"/>
    <row r="564" s="4" customFormat="1" ht="14.25" customHeight="1" x14ac:dyDescent="0.3"/>
    <row r="565" s="4" customFormat="1" ht="14.25" customHeight="1" x14ac:dyDescent="0.3"/>
    <row r="566" s="4" customFormat="1" ht="14.25" customHeight="1" x14ac:dyDescent="0.3"/>
    <row r="567" s="4" customFormat="1" ht="14.25" customHeight="1" x14ac:dyDescent="0.3"/>
    <row r="568" s="4" customFormat="1" ht="14.25" customHeight="1" x14ac:dyDescent="0.3"/>
    <row r="569" s="4" customFormat="1" ht="14.25" customHeight="1" x14ac:dyDescent="0.3"/>
    <row r="570" s="4" customFormat="1" ht="14.25" customHeight="1" x14ac:dyDescent="0.3"/>
    <row r="571" s="4" customFormat="1" ht="14.25" customHeight="1" x14ac:dyDescent="0.3"/>
    <row r="572" s="4" customFormat="1" ht="14.25" customHeight="1" x14ac:dyDescent="0.3"/>
    <row r="573" s="4" customFormat="1" ht="14.25" customHeight="1" x14ac:dyDescent="0.3"/>
    <row r="574" s="4" customFormat="1" ht="14.25" customHeight="1" x14ac:dyDescent="0.3"/>
    <row r="575" s="4" customFormat="1" ht="14.25" customHeight="1" x14ac:dyDescent="0.3"/>
    <row r="576" s="4" customFormat="1" ht="14.25" customHeight="1" x14ac:dyDescent="0.3"/>
    <row r="577" s="4" customFormat="1" ht="14.25" customHeight="1" x14ac:dyDescent="0.3"/>
    <row r="578" s="4" customFormat="1" ht="14.25" customHeight="1" x14ac:dyDescent="0.3"/>
    <row r="579" s="4" customFormat="1" ht="14.25" customHeight="1" x14ac:dyDescent="0.3"/>
    <row r="580" s="4" customFormat="1" ht="14.25" customHeight="1" x14ac:dyDescent="0.3"/>
    <row r="581" s="4" customFormat="1" ht="14.25" customHeight="1" x14ac:dyDescent="0.3"/>
    <row r="582" s="4" customFormat="1" ht="14.25" customHeight="1" x14ac:dyDescent="0.3"/>
    <row r="583" s="4" customFormat="1" ht="14.25" customHeight="1" x14ac:dyDescent="0.3"/>
    <row r="584" s="4" customFormat="1" ht="14.25" customHeight="1" x14ac:dyDescent="0.3"/>
    <row r="585" s="4" customFormat="1" ht="14.25" customHeight="1" x14ac:dyDescent="0.3"/>
    <row r="586" s="4" customFormat="1" ht="14.25" customHeight="1" x14ac:dyDescent="0.3"/>
    <row r="587" s="4" customFormat="1" ht="14.25" customHeight="1" x14ac:dyDescent="0.3"/>
    <row r="588" s="4" customFormat="1" ht="14.25" customHeight="1" x14ac:dyDescent="0.3"/>
    <row r="589" s="4" customFormat="1" ht="14.25" customHeight="1" x14ac:dyDescent="0.3"/>
    <row r="590" s="4" customFormat="1" ht="14.25" customHeight="1" x14ac:dyDescent="0.3"/>
    <row r="591" s="4" customFormat="1" ht="14.25" customHeight="1" x14ac:dyDescent="0.3"/>
    <row r="592" s="4" customFormat="1" ht="14.25" customHeight="1" x14ac:dyDescent="0.3"/>
    <row r="593" s="4" customFormat="1" ht="14.25" customHeight="1" x14ac:dyDescent="0.3"/>
    <row r="594" s="4" customFormat="1" ht="14.25" customHeight="1" x14ac:dyDescent="0.3"/>
    <row r="595" s="4" customFormat="1" ht="14.25" customHeight="1" x14ac:dyDescent="0.3"/>
    <row r="596" s="4" customFormat="1" ht="14.25" customHeight="1" x14ac:dyDescent="0.3"/>
    <row r="597" s="4" customFormat="1" ht="14.25" customHeight="1" x14ac:dyDescent="0.3"/>
    <row r="598" s="4" customFormat="1" ht="14.25" customHeight="1" x14ac:dyDescent="0.3"/>
    <row r="599" s="4" customFormat="1" ht="14.25" customHeight="1" x14ac:dyDescent="0.3"/>
    <row r="600" s="4" customFormat="1" ht="14.25" customHeight="1" x14ac:dyDescent="0.3"/>
    <row r="601" s="4" customFormat="1" ht="14.25" customHeight="1" x14ac:dyDescent="0.3"/>
    <row r="602" s="4" customFormat="1" ht="14.25" customHeight="1" x14ac:dyDescent="0.3"/>
    <row r="603" s="4" customFormat="1" ht="14.25" customHeight="1" x14ac:dyDescent="0.3"/>
    <row r="604" s="4" customFormat="1" ht="14.25" customHeight="1" x14ac:dyDescent="0.3"/>
    <row r="605" s="4" customFormat="1" ht="14.25" customHeight="1" x14ac:dyDescent="0.3"/>
    <row r="606" s="4" customFormat="1" ht="14.25" customHeight="1" x14ac:dyDescent="0.3"/>
    <row r="607" s="4" customFormat="1" ht="14.25" customHeight="1" x14ac:dyDescent="0.3"/>
    <row r="608" s="4" customFormat="1" ht="14.25" customHeight="1" x14ac:dyDescent="0.3"/>
    <row r="609" s="4" customFormat="1" ht="14.25" customHeight="1" x14ac:dyDescent="0.3"/>
    <row r="610" s="4" customFormat="1" ht="14.25" customHeight="1" x14ac:dyDescent="0.3"/>
    <row r="611" s="4" customFormat="1" ht="14.25" customHeight="1" x14ac:dyDescent="0.3"/>
    <row r="612" s="4" customFormat="1" ht="14.25" customHeight="1" x14ac:dyDescent="0.3"/>
    <row r="613" s="4" customFormat="1" ht="14.25" customHeight="1" x14ac:dyDescent="0.3"/>
    <row r="614" s="4" customFormat="1" ht="14.25" customHeight="1" x14ac:dyDescent="0.3"/>
    <row r="615" s="4" customFormat="1" ht="14.25" customHeight="1" x14ac:dyDescent="0.3"/>
    <row r="616" s="4" customFormat="1" ht="14.25" customHeight="1" x14ac:dyDescent="0.3"/>
    <row r="617" s="4" customFormat="1" ht="14.25" customHeight="1" x14ac:dyDescent="0.3"/>
    <row r="618" s="4" customFormat="1" ht="14.25" customHeight="1" x14ac:dyDescent="0.3"/>
    <row r="619" s="4" customFormat="1" ht="14.25" customHeight="1" x14ac:dyDescent="0.3"/>
    <row r="620" s="4" customFormat="1" ht="14.25" customHeight="1" x14ac:dyDescent="0.3"/>
    <row r="621" s="4" customFormat="1" ht="14.25" customHeight="1" x14ac:dyDescent="0.3"/>
    <row r="622" s="4" customFormat="1" ht="14.25" customHeight="1" x14ac:dyDescent="0.3"/>
    <row r="623" s="4" customFormat="1" ht="14.25" customHeight="1" x14ac:dyDescent="0.3"/>
    <row r="624" s="4" customFormat="1" ht="14.25" customHeight="1" x14ac:dyDescent="0.3"/>
    <row r="625" s="4" customFormat="1" ht="14.25" customHeight="1" x14ac:dyDescent="0.3"/>
    <row r="626" s="4" customFormat="1" ht="14.25" customHeight="1" x14ac:dyDescent="0.3"/>
    <row r="627" s="4" customFormat="1" ht="14.25" customHeight="1" x14ac:dyDescent="0.3"/>
    <row r="628" s="4" customFormat="1" ht="14.25" customHeight="1" x14ac:dyDescent="0.3"/>
    <row r="629" s="4" customFormat="1" ht="14.25" customHeight="1" x14ac:dyDescent="0.3"/>
    <row r="630" s="4" customFormat="1" ht="14.25" customHeight="1" x14ac:dyDescent="0.3"/>
    <row r="631" s="4" customFormat="1" ht="14.25" customHeight="1" x14ac:dyDescent="0.3"/>
    <row r="632" s="4" customFormat="1" ht="14.25" customHeight="1" x14ac:dyDescent="0.3"/>
    <row r="633" s="4" customFormat="1" ht="14.25" customHeight="1" x14ac:dyDescent="0.3"/>
    <row r="634" s="4" customFormat="1" ht="14.25" customHeight="1" x14ac:dyDescent="0.3"/>
    <row r="635" s="4" customFormat="1" ht="14.25" customHeight="1" x14ac:dyDescent="0.3"/>
    <row r="636" s="4" customFormat="1" ht="14.25" customHeight="1" x14ac:dyDescent="0.3"/>
    <row r="637" s="4" customFormat="1" ht="14.25" customHeight="1" x14ac:dyDescent="0.3"/>
    <row r="638" s="4" customFormat="1" ht="14.25" customHeight="1" x14ac:dyDescent="0.3"/>
    <row r="639" s="4" customFormat="1" ht="14.25" customHeight="1" x14ac:dyDescent="0.3"/>
    <row r="640" s="4" customFormat="1" ht="14.25" customHeight="1" x14ac:dyDescent="0.3"/>
    <row r="641" s="4" customFormat="1" ht="14.25" customHeight="1" x14ac:dyDescent="0.3"/>
    <row r="642" s="4" customFormat="1" ht="14.25" customHeight="1" x14ac:dyDescent="0.3"/>
    <row r="643" s="4" customFormat="1" ht="14.25" customHeight="1" x14ac:dyDescent="0.3"/>
    <row r="644" s="4" customFormat="1" ht="14.25" customHeight="1" x14ac:dyDescent="0.3"/>
    <row r="645" s="4" customFormat="1" ht="14.25" customHeight="1" x14ac:dyDescent="0.3"/>
    <row r="646" s="4" customFormat="1" ht="14.25" customHeight="1" x14ac:dyDescent="0.3"/>
    <row r="647" s="4" customFormat="1" ht="14.25" customHeight="1" x14ac:dyDescent="0.3"/>
    <row r="648" s="4" customFormat="1" ht="14.25" customHeight="1" x14ac:dyDescent="0.3"/>
    <row r="649" s="4" customFormat="1" ht="14.25" customHeight="1" x14ac:dyDescent="0.3"/>
    <row r="650" s="4" customFormat="1" ht="14.25" customHeight="1" x14ac:dyDescent="0.3"/>
    <row r="651" s="4" customFormat="1" ht="14.25" customHeight="1" x14ac:dyDescent="0.3"/>
    <row r="652" s="4" customFormat="1" ht="14.25" customHeight="1" x14ac:dyDescent="0.3"/>
    <row r="653" s="4" customFormat="1" ht="14.25" customHeight="1" x14ac:dyDescent="0.3"/>
    <row r="654" s="4" customFormat="1" ht="14.25" customHeight="1" x14ac:dyDescent="0.3"/>
    <row r="655" s="4" customFormat="1" ht="14.25" customHeight="1" x14ac:dyDescent="0.3"/>
    <row r="656" s="4" customFormat="1" ht="14.25" customHeight="1" x14ac:dyDescent="0.3"/>
    <row r="657" s="4" customFormat="1" ht="14.25" customHeight="1" x14ac:dyDescent="0.3"/>
    <row r="658" s="4" customFormat="1" ht="14.25" customHeight="1" x14ac:dyDescent="0.3"/>
    <row r="659" s="4" customFormat="1" ht="14.25" customHeight="1" x14ac:dyDescent="0.3"/>
    <row r="660" s="4" customFormat="1" ht="14.25" customHeight="1" x14ac:dyDescent="0.3"/>
    <row r="661" s="4" customFormat="1" ht="14.25" customHeight="1" x14ac:dyDescent="0.3"/>
    <row r="662" s="4" customFormat="1" ht="14.25" customHeight="1" x14ac:dyDescent="0.3"/>
    <row r="663" s="4" customFormat="1" ht="14.25" customHeight="1" x14ac:dyDescent="0.3"/>
    <row r="664" s="4" customFormat="1" ht="14.25" customHeight="1" x14ac:dyDescent="0.3"/>
    <row r="665" s="4" customFormat="1" ht="14.25" customHeight="1" x14ac:dyDescent="0.3"/>
    <row r="666" s="4" customFormat="1" ht="14.25" customHeight="1" x14ac:dyDescent="0.3"/>
    <row r="667" s="4" customFormat="1" ht="14.25" customHeight="1" x14ac:dyDescent="0.3"/>
    <row r="668" s="4" customFormat="1" ht="14.25" customHeight="1" x14ac:dyDescent="0.3"/>
    <row r="669" s="4" customFormat="1" ht="14.25" customHeight="1" x14ac:dyDescent="0.3"/>
    <row r="670" s="4" customFormat="1" ht="14.25" customHeight="1" x14ac:dyDescent="0.3"/>
    <row r="671" s="4" customFormat="1" ht="14.25" customHeight="1" x14ac:dyDescent="0.3"/>
    <row r="672" s="4" customFormat="1" ht="14.25" customHeight="1" x14ac:dyDescent="0.3"/>
    <row r="673" s="4" customFormat="1" ht="14.25" customHeight="1" x14ac:dyDescent="0.3"/>
    <row r="674" s="4" customFormat="1" ht="14.25" customHeight="1" x14ac:dyDescent="0.3"/>
    <row r="675" s="4" customFormat="1" ht="14.25" customHeight="1" x14ac:dyDescent="0.3"/>
    <row r="676" s="4" customFormat="1" ht="14.25" customHeight="1" x14ac:dyDescent="0.3"/>
    <row r="677" s="4" customFormat="1" ht="14.25" customHeight="1" x14ac:dyDescent="0.3"/>
    <row r="678" s="4" customFormat="1" ht="14.25" customHeight="1" x14ac:dyDescent="0.3"/>
    <row r="679" s="4" customFormat="1" ht="14.25" customHeight="1" x14ac:dyDescent="0.3"/>
    <row r="680" s="4" customFormat="1" ht="14.25" customHeight="1" x14ac:dyDescent="0.3"/>
    <row r="681" s="4" customFormat="1" ht="14.25" customHeight="1" x14ac:dyDescent="0.3"/>
    <row r="682" s="4" customFormat="1" ht="14.25" customHeight="1" x14ac:dyDescent="0.3"/>
    <row r="683" s="4" customFormat="1" ht="14.25" customHeight="1" x14ac:dyDescent="0.3"/>
    <row r="684" s="4" customFormat="1" ht="14.25" customHeight="1" x14ac:dyDescent="0.3"/>
    <row r="685" s="4" customFormat="1" ht="14.25" customHeight="1" x14ac:dyDescent="0.3"/>
    <row r="686" s="4" customFormat="1" ht="14.25" customHeight="1" x14ac:dyDescent="0.3"/>
    <row r="687" s="4" customFormat="1" ht="14.25" customHeight="1" x14ac:dyDescent="0.3"/>
    <row r="688" s="4" customFormat="1" ht="14.25" customHeight="1" x14ac:dyDescent="0.3"/>
    <row r="689" s="4" customFormat="1" ht="14.25" customHeight="1" x14ac:dyDescent="0.3"/>
    <row r="690" s="4" customFormat="1" ht="14.25" customHeight="1" x14ac:dyDescent="0.3"/>
    <row r="691" s="4" customFormat="1" ht="14.25" customHeight="1" x14ac:dyDescent="0.3"/>
    <row r="692" s="4" customFormat="1" ht="14.25" customHeight="1" x14ac:dyDescent="0.3"/>
    <row r="693" s="4" customFormat="1" ht="14.25" customHeight="1" x14ac:dyDescent="0.3"/>
    <row r="694" s="4" customFormat="1" ht="14.25" customHeight="1" x14ac:dyDescent="0.3"/>
    <row r="695" s="4" customFormat="1" ht="14.25" customHeight="1" x14ac:dyDescent="0.3"/>
    <row r="696" s="4" customFormat="1" ht="14.25" customHeight="1" x14ac:dyDescent="0.3"/>
    <row r="697" s="4" customFormat="1" ht="14.25" customHeight="1" x14ac:dyDescent="0.3"/>
    <row r="698" s="4" customFormat="1" ht="14.25" customHeight="1" x14ac:dyDescent="0.3"/>
    <row r="699" s="4" customFormat="1" ht="14.25" customHeight="1" x14ac:dyDescent="0.3"/>
    <row r="700" s="4" customFormat="1" ht="14.25" customHeight="1" x14ac:dyDescent="0.3"/>
    <row r="701" s="4" customFormat="1" ht="14.25" customHeight="1" x14ac:dyDescent="0.3"/>
    <row r="702" s="4" customFormat="1" ht="14.25" customHeight="1" x14ac:dyDescent="0.3"/>
    <row r="703" s="4" customFormat="1" ht="14.25" customHeight="1" x14ac:dyDescent="0.3"/>
    <row r="704" s="4" customFormat="1" ht="14.25" customHeight="1" x14ac:dyDescent="0.3"/>
    <row r="705" s="4" customFormat="1" ht="14.25" customHeight="1" x14ac:dyDescent="0.3"/>
    <row r="706" s="4" customFormat="1" ht="14.25" customHeight="1" x14ac:dyDescent="0.3"/>
    <row r="707" s="4" customFormat="1" ht="14.25" customHeight="1" x14ac:dyDescent="0.3"/>
    <row r="708" s="4" customFormat="1" ht="14.25" customHeight="1" x14ac:dyDescent="0.3"/>
    <row r="709" s="4" customFormat="1" ht="14.25" customHeight="1" x14ac:dyDescent="0.3"/>
    <row r="710" s="4" customFormat="1" ht="14.25" customHeight="1" x14ac:dyDescent="0.3"/>
    <row r="711" s="4" customFormat="1" ht="14.25" customHeight="1" x14ac:dyDescent="0.3"/>
    <row r="712" s="4" customFormat="1" ht="14.25" customHeight="1" x14ac:dyDescent="0.3"/>
    <row r="713" s="4" customFormat="1" ht="14.25" customHeight="1" x14ac:dyDescent="0.3"/>
    <row r="714" s="4" customFormat="1" ht="14.25" customHeight="1" x14ac:dyDescent="0.3"/>
    <row r="715" s="4" customFormat="1" ht="14.25" customHeight="1" x14ac:dyDescent="0.3"/>
    <row r="716" s="4" customFormat="1" ht="14.25" customHeight="1" x14ac:dyDescent="0.3"/>
    <row r="717" s="4" customFormat="1" ht="14.25" customHeight="1" x14ac:dyDescent="0.3"/>
    <row r="718" s="4" customFormat="1" ht="14.25" customHeight="1" x14ac:dyDescent="0.3"/>
    <row r="719" s="4" customFormat="1" ht="14.25" customHeight="1" x14ac:dyDescent="0.3"/>
    <row r="720" s="4" customFormat="1" ht="14.25" customHeight="1" x14ac:dyDescent="0.3"/>
    <row r="721" s="4" customFormat="1" ht="14.25" customHeight="1" x14ac:dyDescent="0.3"/>
    <row r="722" s="4" customFormat="1" ht="14.25" customHeight="1" x14ac:dyDescent="0.3"/>
    <row r="723" s="4" customFormat="1" ht="14.25" customHeight="1" x14ac:dyDescent="0.3"/>
    <row r="724" s="4" customFormat="1" ht="14.25" customHeight="1" x14ac:dyDescent="0.3"/>
    <row r="725" s="4" customFormat="1" ht="14.25" customHeight="1" x14ac:dyDescent="0.3"/>
    <row r="726" s="4" customFormat="1" ht="14.25" customHeight="1" x14ac:dyDescent="0.3"/>
    <row r="727" s="4" customFormat="1" ht="14.25" customHeight="1" x14ac:dyDescent="0.3"/>
    <row r="728" s="4" customFormat="1" ht="14.25" customHeight="1" x14ac:dyDescent="0.3"/>
    <row r="729" s="4" customFormat="1" ht="14.25" customHeight="1" x14ac:dyDescent="0.3"/>
    <row r="730" s="4" customFormat="1" ht="14.25" customHeight="1" x14ac:dyDescent="0.3"/>
    <row r="731" s="4" customFormat="1" ht="14.25" customHeight="1" x14ac:dyDescent="0.3"/>
    <row r="732" s="4" customFormat="1" ht="14.25" customHeight="1" x14ac:dyDescent="0.3"/>
    <row r="733" s="4" customFormat="1" ht="14.25" customHeight="1" x14ac:dyDescent="0.3"/>
    <row r="734" s="4" customFormat="1" ht="14.25" customHeight="1" x14ac:dyDescent="0.3"/>
    <row r="735" s="4" customFormat="1" ht="14.25" customHeight="1" x14ac:dyDescent="0.3"/>
    <row r="736" s="4" customFormat="1" ht="14.25" customHeight="1" x14ac:dyDescent="0.3"/>
    <row r="737" s="4" customFormat="1" ht="14.25" customHeight="1" x14ac:dyDescent="0.3"/>
    <row r="738" s="4" customFormat="1" ht="14.25" customHeight="1" x14ac:dyDescent="0.3"/>
    <row r="739" s="4" customFormat="1" ht="14.25" customHeight="1" x14ac:dyDescent="0.3"/>
    <row r="740" s="4" customFormat="1" ht="14.25" customHeight="1" x14ac:dyDescent="0.3"/>
    <row r="741" s="4" customFormat="1" ht="14.25" customHeight="1" x14ac:dyDescent="0.3"/>
    <row r="742" s="4" customFormat="1" ht="14.25" customHeight="1" x14ac:dyDescent="0.3"/>
    <row r="743" s="4" customFormat="1" ht="14.25" customHeight="1" x14ac:dyDescent="0.3"/>
    <row r="744" s="4" customFormat="1" ht="14.25" customHeight="1" x14ac:dyDescent="0.3"/>
    <row r="745" s="4" customFormat="1" ht="14.25" customHeight="1" x14ac:dyDescent="0.3"/>
    <row r="746" s="4" customFormat="1" ht="14.25" customHeight="1" x14ac:dyDescent="0.3"/>
    <row r="747" s="4" customFormat="1" ht="14.25" customHeight="1" x14ac:dyDescent="0.3"/>
    <row r="748" s="4" customFormat="1" ht="14.25" customHeight="1" x14ac:dyDescent="0.3"/>
    <row r="749" s="4" customFormat="1" ht="14.25" customHeight="1" x14ac:dyDescent="0.3"/>
    <row r="750" s="4" customFormat="1" ht="14.25" customHeight="1" x14ac:dyDescent="0.3"/>
    <row r="751" s="4" customFormat="1" ht="14.25" customHeight="1" x14ac:dyDescent="0.3"/>
    <row r="752" s="4" customFormat="1" ht="14.25" customHeight="1" x14ac:dyDescent="0.3"/>
    <row r="753" s="4" customFormat="1" ht="14.25" customHeight="1" x14ac:dyDescent="0.3"/>
    <row r="754" s="4" customFormat="1" ht="14.25" customHeight="1" x14ac:dyDescent="0.3"/>
    <row r="755" s="4" customFormat="1" ht="14.25" customHeight="1" x14ac:dyDescent="0.3"/>
    <row r="756" s="4" customFormat="1" ht="14.25" customHeight="1" x14ac:dyDescent="0.3"/>
    <row r="757" s="4" customFormat="1" ht="14.25" customHeight="1" x14ac:dyDescent="0.3"/>
    <row r="758" s="4" customFormat="1" ht="14.25" customHeight="1" x14ac:dyDescent="0.3"/>
    <row r="759" s="4" customFormat="1" ht="14.25" customHeight="1" x14ac:dyDescent="0.3"/>
    <row r="760" s="4" customFormat="1" ht="14.25" customHeight="1" x14ac:dyDescent="0.3"/>
    <row r="761" s="4" customFormat="1" ht="14.25" customHeight="1" x14ac:dyDescent="0.3"/>
    <row r="762" s="4" customFormat="1" ht="14.25" customHeight="1" x14ac:dyDescent="0.3"/>
    <row r="763" s="4" customFormat="1" ht="14.25" customHeight="1" x14ac:dyDescent="0.3"/>
    <row r="764" s="4" customFormat="1" ht="14.25" customHeight="1" x14ac:dyDescent="0.3"/>
    <row r="765" s="4" customFormat="1" ht="14.25" customHeight="1" x14ac:dyDescent="0.3"/>
    <row r="766" s="4" customFormat="1" ht="14.25" customHeight="1" x14ac:dyDescent="0.3"/>
    <row r="767" s="4" customFormat="1" ht="14.25" customHeight="1" x14ac:dyDescent="0.3"/>
    <row r="768" s="4" customFormat="1" ht="14.25" customHeight="1" x14ac:dyDescent="0.3"/>
    <row r="769" s="4" customFormat="1" ht="14.25" customHeight="1" x14ac:dyDescent="0.3"/>
    <row r="770" s="4" customFormat="1" ht="14.25" customHeight="1" x14ac:dyDescent="0.3"/>
    <row r="771" s="4" customFormat="1" ht="14.25" customHeight="1" x14ac:dyDescent="0.3"/>
    <row r="772" s="4" customFormat="1" ht="14.25" customHeight="1" x14ac:dyDescent="0.3"/>
    <row r="773" s="4" customFormat="1" ht="14.25" customHeight="1" x14ac:dyDescent="0.3"/>
    <row r="774" s="4" customFormat="1" ht="14.25" customHeight="1" x14ac:dyDescent="0.3"/>
    <row r="775" s="4" customFormat="1" ht="14.25" customHeight="1" x14ac:dyDescent="0.3"/>
    <row r="776" s="4" customFormat="1" ht="14.25" customHeight="1" x14ac:dyDescent="0.3"/>
    <row r="777" s="4" customFormat="1" ht="14.25" customHeight="1" x14ac:dyDescent="0.3"/>
    <row r="778" s="4" customFormat="1" ht="14.25" customHeight="1" x14ac:dyDescent="0.3"/>
    <row r="779" s="4" customFormat="1" ht="14.25" customHeight="1" x14ac:dyDescent="0.3"/>
    <row r="780" s="4" customFormat="1" ht="14.25" customHeight="1" x14ac:dyDescent="0.3"/>
    <row r="781" s="4" customFormat="1" ht="14.25" customHeight="1" x14ac:dyDescent="0.3"/>
    <row r="782" s="4" customFormat="1" ht="14.25" customHeight="1" x14ac:dyDescent="0.3"/>
    <row r="783" s="4" customFormat="1" ht="14.25" customHeight="1" x14ac:dyDescent="0.3"/>
    <row r="784" s="4" customFormat="1" ht="14.25" customHeight="1" x14ac:dyDescent="0.3"/>
    <row r="785" s="4" customFormat="1" ht="14.25" customHeight="1" x14ac:dyDescent="0.3"/>
    <row r="786" s="4" customFormat="1" ht="14.25" customHeight="1" x14ac:dyDescent="0.3"/>
    <row r="787" s="4" customFormat="1" ht="14.25" customHeight="1" x14ac:dyDescent="0.3"/>
    <row r="788" s="4" customFormat="1" ht="14.25" customHeight="1" x14ac:dyDescent="0.3"/>
    <row r="789" s="4" customFormat="1" ht="14.25" customHeight="1" x14ac:dyDescent="0.3"/>
    <row r="790" s="4" customFormat="1" ht="14.25" customHeight="1" x14ac:dyDescent="0.3"/>
    <row r="791" s="4" customFormat="1" ht="14.25" customHeight="1" x14ac:dyDescent="0.3"/>
    <row r="792" s="4" customFormat="1" ht="14.25" customHeight="1" x14ac:dyDescent="0.3"/>
    <row r="793" s="4" customFormat="1" ht="14.25" customHeight="1" x14ac:dyDescent="0.3"/>
    <row r="794" s="4" customFormat="1" ht="14.25" customHeight="1" x14ac:dyDescent="0.3"/>
    <row r="795" s="4" customFormat="1" ht="14.25" customHeight="1" x14ac:dyDescent="0.3"/>
    <row r="796" s="4" customFormat="1" ht="14.25" customHeight="1" x14ac:dyDescent="0.3"/>
    <row r="797" s="4" customFormat="1" ht="14.25" customHeight="1" x14ac:dyDescent="0.3"/>
    <row r="798" s="4" customFormat="1" ht="14.25" customHeight="1" x14ac:dyDescent="0.3"/>
    <row r="799" s="4" customFormat="1" ht="14.25" customHeight="1" x14ac:dyDescent="0.3"/>
    <row r="800" s="4" customFormat="1" ht="14.25" customHeight="1" x14ac:dyDescent="0.3"/>
    <row r="801" s="4" customFormat="1" ht="14.25" customHeight="1" x14ac:dyDescent="0.3"/>
    <row r="802" s="4" customFormat="1" ht="14.25" customHeight="1" x14ac:dyDescent="0.3"/>
    <row r="803" s="4" customFormat="1" ht="14.25" customHeight="1" x14ac:dyDescent="0.3"/>
    <row r="804" s="4" customFormat="1" ht="14.25" customHeight="1" x14ac:dyDescent="0.3"/>
    <row r="805" s="4" customFormat="1" ht="14.25" customHeight="1" x14ac:dyDescent="0.3"/>
    <row r="806" s="4" customFormat="1" ht="14.25" customHeight="1" x14ac:dyDescent="0.3"/>
    <row r="807" s="4" customFormat="1" ht="14.25" customHeight="1" x14ac:dyDescent="0.3"/>
    <row r="808" s="4" customFormat="1" ht="14.25" customHeight="1" x14ac:dyDescent="0.3"/>
    <row r="809" s="4" customFormat="1" ht="14.25" customHeight="1" x14ac:dyDescent="0.3"/>
    <row r="810" s="4" customFormat="1" ht="14.25" customHeight="1" x14ac:dyDescent="0.3"/>
    <row r="811" s="4" customFormat="1" ht="14.25" customHeight="1" x14ac:dyDescent="0.3"/>
    <row r="812" s="4" customFormat="1" ht="14.25" customHeight="1" x14ac:dyDescent="0.3"/>
    <row r="813" s="4" customFormat="1" ht="14.25" customHeight="1" x14ac:dyDescent="0.3"/>
    <row r="814" s="4" customFormat="1" ht="14.25" customHeight="1" x14ac:dyDescent="0.3"/>
    <row r="815" s="4" customFormat="1" ht="14.25" customHeight="1" x14ac:dyDescent="0.3"/>
    <row r="816" s="4" customFormat="1" ht="14.25" customHeight="1" x14ac:dyDescent="0.3"/>
    <row r="817" s="4" customFormat="1" ht="14.25" customHeight="1" x14ac:dyDescent="0.3"/>
    <row r="818" s="4" customFormat="1" ht="14.25" customHeight="1" x14ac:dyDescent="0.3"/>
    <row r="819" s="4" customFormat="1" ht="14.25" customHeight="1" x14ac:dyDescent="0.3"/>
    <row r="820" s="4" customFormat="1" ht="14.25" customHeight="1" x14ac:dyDescent="0.3"/>
    <row r="821" s="4" customFormat="1" ht="14.25" customHeight="1" x14ac:dyDescent="0.3"/>
    <row r="822" s="4" customFormat="1" ht="14.25" customHeight="1" x14ac:dyDescent="0.3"/>
    <row r="823" s="4" customFormat="1" ht="14.25" customHeight="1" x14ac:dyDescent="0.3"/>
    <row r="824" s="4" customFormat="1" ht="14.25" customHeight="1" x14ac:dyDescent="0.3"/>
    <row r="825" s="4" customFormat="1" ht="14.25" customHeight="1" x14ac:dyDescent="0.3"/>
    <row r="826" s="4" customFormat="1" ht="14.25" customHeight="1" x14ac:dyDescent="0.3"/>
    <row r="827" s="4" customFormat="1" ht="14.25" customHeight="1" x14ac:dyDescent="0.3"/>
    <row r="828" s="4" customFormat="1" ht="14.25" customHeight="1" x14ac:dyDescent="0.3"/>
    <row r="829" s="4" customFormat="1" ht="14.25" customHeight="1" x14ac:dyDescent="0.3"/>
    <row r="830" s="4" customFormat="1" ht="14.25" customHeight="1" x14ac:dyDescent="0.3"/>
    <row r="831" s="4" customFormat="1" ht="14.25" customHeight="1" x14ac:dyDescent="0.3"/>
    <row r="832" s="4" customFormat="1" ht="14.25" customHeight="1" x14ac:dyDescent="0.3"/>
    <row r="833" s="4" customFormat="1" ht="14.25" customHeight="1" x14ac:dyDescent="0.3"/>
    <row r="834" s="4" customFormat="1" ht="14.25" customHeight="1" x14ac:dyDescent="0.3"/>
    <row r="835" s="4" customFormat="1" ht="14.25" customHeight="1" x14ac:dyDescent="0.3"/>
    <row r="836" s="4" customFormat="1" ht="14.25" customHeight="1" x14ac:dyDescent="0.3"/>
    <row r="837" s="4" customFormat="1" ht="14.25" customHeight="1" x14ac:dyDescent="0.3"/>
    <row r="838" s="4" customFormat="1" ht="14.25" customHeight="1" x14ac:dyDescent="0.3"/>
    <row r="839" s="4" customFormat="1" ht="14.25" customHeight="1" x14ac:dyDescent="0.3"/>
    <row r="840" s="4" customFormat="1" ht="14.25" customHeight="1" x14ac:dyDescent="0.3"/>
    <row r="841" s="4" customFormat="1" ht="14.25" customHeight="1" x14ac:dyDescent="0.3"/>
    <row r="842" s="4" customFormat="1" ht="14.25" customHeight="1" x14ac:dyDescent="0.3"/>
    <row r="843" s="4" customFormat="1" ht="14.25" customHeight="1" x14ac:dyDescent="0.3"/>
    <row r="844" s="4" customFormat="1" ht="14.25" customHeight="1" x14ac:dyDescent="0.3"/>
    <row r="845" s="4" customFormat="1" ht="14.25" customHeight="1" x14ac:dyDescent="0.3"/>
    <row r="846" s="4" customFormat="1" ht="14.25" customHeight="1" x14ac:dyDescent="0.3"/>
    <row r="847" s="4" customFormat="1" ht="14.25" customHeight="1" x14ac:dyDescent="0.3"/>
    <row r="848" s="4" customFormat="1" ht="14.25" customHeight="1" x14ac:dyDescent="0.3"/>
    <row r="849" s="4" customFormat="1" ht="14.25" customHeight="1" x14ac:dyDescent="0.3"/>
    <row r="850" s="4" customFormat="1" ht="14.25" customHeight="1" x14ac:dyDescent="0.3"/>
    <row r="851" s="4" customFormat="1" ht="14.25" customHeight="1" x14ac:dyDescent="0.3"/>
    <row r="852" s="4" customFormat="1" ht="14.25" customHeight="1" x14ac:dyDescent="0.3"/>
    <row r="853" s="4" customFormat="1" ht="14.25" customHeight="1" x14ac:dyDescent="0.3"/>
    <row r="854" s="4" customFormat="1" ht="14.25" customHeight="1" x14ac:dyDescent="0.3"/>
    <row r="855" s="4" customFormat="1" ht="14.25" customHeight="1" x14ac:dyDescent="0.3"/>
    <row r="856" s="4" customFormat="1" ht="14.25" customHeight="1" x14ac:dyDescent="0.3"/>
    <row r="857" s="4" customFormat="1" ht="14.25" customHeight="1" x14ac:dyDescent="0.3"/>
    <row r="858" s="4" customFormat="1" ht="14.25" customHeight="1" x14ac:dyDescent="0.3"/>
    <row r="859" s="4" customFormat="1" ht="14.25" customHeight="1" x14ac:dyDescent="0.3"/>
    <row r="860" s="4" customFormat="1" ht="14.25" customHeight="1" x14ac:dyDescent="0.3"/>
    <row r="861" s="4" customFormat="1" ht="14.25" customHeight="1" x14ac:dyDescent="0.3"/>
    <row r="862" s="4" customFormat="1" ht="14.25" customHeight="1" x14ac:dyDescent="0.3"/>
    <row r="863" s="4" customFormat="1" ht="14.25" customHeight="1" x14ac:dyDescent="0.3"/>
    <row r="864" s="4" customFormat="1" ht="14.25" customHeight="1" x14ac:dyDescent="0.3"/>
    <row r="865" s="4" customFormat="1" ht="14.25" customHeight="1" x14ac:dyDescent="0.3"/>
    <row r="866" s="4" customFormat="1" ht="14.25" customHeight="1" x14ac:dyDescent="0.3"/>
    <row r="867" s="4" customFormat="1" ht="14.25" customHeight="1" x14ac:dyDescent="0.3"/>
    <row r="868" s="4" customFormat="1" ht="14.25" customHeight="1" x14ac:dyDescent="0.3"/>
    <row r="869" s="4" customFormat="1" ht="14.25" customHeight="1" x14ac:dyDescent="0.3"/>
    <row r="870" s="4" customFormat="1" ht="14.25" customHeight="1" x14ac:dyDescent="0.3"/>
    <row r="871" s="4" customFormat="1" ht="14.25" customHeight="1" x14ac:dyDescent="0.3"/>
    <row r="872" s="4" customFormat="1" ht="14.25" customHeight="1" x14ac:dyDescent="0.3"/>
    <row r="873" s="4" customFormat="1" ht="14.25" customHeight="1" x14ac:dyDescent="0.3"/>
    <row r="874" s="4" customFormat="1" ht="14.25" customHeight="1" x14ac:dyDescent="0.3"/>
    <row r="875" s="4" customFormat="1" ht="14.25" customHeight="1" x14ac:dyDescent="0.3"/>
    <row r="876" s="4" customFormat="1" ht="14.25" customHeight="1" x14ac:dyDescent="0.3"/>
    <row r="877" s="4" customFormat="1" ht="14.25" customHeight="1" x14ac:dyDescent="0.3"/>
    <row r="878" s="4" customFormat="1" ht="14.25" customHeight="1" x14ac:dyDescent="0.3"/>
    <row r="879" s="4" customFormat="1" ht="14.25" customHeight="1" x14ac:dyDescent="0.3"/>
    <row r="880" s="4" customFormat="1" ht="14.25" customHeight="1" x14ac:dyDescent="0.3"/>
    <row r="881" s="4" customFormat="1" ht="14.25" customHeight="1" x14ac:dyDescent="0.3"/>
    <row r="882" s="4" customFormat="1" ht="14.25" customHeight="1" x14ac:dyDescent="0.3"/>
    <row r="883" s="4" customFormat="1" ht="14.25" customHeight="1" x14ac:dyDescent="0.3"/>
    <row r="884" s="4" customFormat="1" ht="14.25" customHeight="1" x14ac:dyDescent="0.3"/>
    <row r="885" s="4" customFormat="1" ht="14.25" customHeight="1" x14ac:dyDescent="0.3"/>
    <row r="886" s="4" customFormat="1" ht="14.25" customHeight="1" x14ac:dyDescent="0.3"/>
    <row r="887" s="4" customFormat="1" ht="14.25" customHeight="1" x14ac:dyDescent="0.3"/>
    <row r="888" s="4" customFormat="1" ht="14.25" customHeight="1" x14ac:dyDescent="0.3"/>
    <row r="889" s="4" customFormat="1" ht="14.25" customHeight="1" x14ac:dyDescent="0.3"/>
    <row r="890" s="4" customFormat="1" ht="14.25" customHeight="1" x14ac:dyDescent="0.3"/>
    <row r="891" s="4" customFormat="1" ht="14.25" customHeight="1" x14ac:dyDescent="0.3"/>
    <row r="892" s="4" customFormat="1" ht="14.25" customHeight="1" x14ac:dyDescent="0.3"/>
    <row r="893" s="4" customFormat="1" ht="14.25" customHeight="1" x14ac:dyDescent="0.3"/>
    <row r="894" s="4" customFormat="1" ht="14.25" customHeight="1" x14ac:dyDescent="0.3"/>
    <row r="895" s="4" customFormat="1" ht="14.25" customHeight="1" x14ac:dyDescent="0.3"/>
    <row r="896" s="4" customFormat="1" ht="14.25" customHeight="1" x14ac:dyDescent="0.3"/>
    <row r="897" s="4" customFormat="1" ht="14.25" customHeight="1" x14ac:dyDescent="0.3"/>
    <row r="898" s="4" customFormat="1" ht="14.25" customHeight="1" x14ac:dyDescent="0.3"/>
    <row r="899" s="4" customFormat="1" ht="14.25" customHeight="1" x14ac:dyDescent="0.3"/>
    <row r="900" s="4" customFormat="1" ht="14.25" customHeight="1" x14ac:dyDescent="0.3"/>
    <row r="901" s="4" customFormat="1" ht="14.25" customHeight="1" x14ac:dyDescent="0.3"/>
    <row r="902" s="4" customFormat="1" ht="14.25" customHeight="1" x14ac:dyDescent="0.3"/>
    <row r="903" s="4" customFormat="1" ht="14.25" customHeight="1" x14ac:dyDescent="0.3"/>
    <row r="904" s="4" customFormat="1" ht="14.25" customHeight="1" x14ac:dyDescent="0.3"/>
    <row r="905" s="4" customFormat="1" ht="14.25" customHeight="1" x14ac:dyDescent="0.3"/>
    <row r="906" s="4" customFormat="1" ht="14.25" customHeight="1" x14ac:dyDescent="0.3"/>
    <row r="907" s="4" customFormat="1" ht="14.25" customHeight="1" x14ac:dyDescent="0.3"/>
    <row r="908" s="4" customFormat="1" ht="14.25" customHeight="1" x14ac:dyDescent="0.3"/>
    <row r="909" s="4" customFormat="1" ht="14.25" customHeight="1" x14ac:dyDescent="0.3"/>
    <row r="910" s="4" customFormat="1" ht="14.25" customHeight="1" x14ac:dyDescent="0.3"/>
    <row r="911" s="4" customFormat="1" ht="14.25" customHeight="1" x14ac:dyDescent="0.3"/>
    <row r="912" s="4" customFormat="1" ht="14.25" customHeight="1" x14ac:dyDescent="0.3"/>
    <row r="913" s="4" customFormat="1" ht="14.25" customHeight="1" x14ac:dyDescent="0.3"/>
    <row r="914" s="4" customFormat="1" ht="14.25" customHeight="1" x14ac:dyDescent="0.3"/>
    <row r="915" s="4" customFormat="1" ht="14.25" customHeight="1" x14ac:dyDescent="0.3"/>
    <row r="916" s="4" customFormat="1" ht="14.25" customHeight="1" x14ac:dyDescent="0.3"/>
    <row r="917" s="4" customFormat="1" ht="14.25" customHeight="1" x14ac:dyDescent="0.3"/>
    <row r="918" s="4" customFormat="1" ht="14.25" customHeight="1" x14ac:dyDescent="0.3"/>
    <row r="919" s="4" customFormat="1" ht="14.25" customHeight="1" x14ac:dyDescent="0.3"/>
    <row r="920" s="4" customFormat="1" ht="14.25" customHeight="1" x14ac:dyDescent="0.3"/>
    <row r="921" s="4" customFormat="1" ht="14.25" customHeight="1" x14ac:dyDescent="0.3"/>
    <row r="922" s="4" customFormat="1" ht="14.25" customHeight="1" x14ac:dyDescent="0.3"/>
    <row r="923" s="4" customFormat="1" ht="14.25" customHeight="1" x14ac:dyDescent="0.3"/>
    <row r="924" s="4" customFormat="1" ht="14.25" customHeight="1" x14ac:dyDescent="0.3"/>
    <row r="925" s="4" customFormat="1" ht="14.25" customHeight="1" x14ac:dyDescent="0.3"/>
    <row r="926" s="4" customFormat="1" ht="14.25" customHeight="1" x14ac:dyDescent="0.3"/>
    <row r="927" s="4" customFormat="1" ht="14.25" customHeight="1" x14ac:dyDescent="0.3"/>
    <row r="928" s="4" customFormat="1" ht="14.25" customHeight="1" x14ac:dyDescent="0.3"/>
    <row r="929" s="4" customFormat="1" ht="14.25" customHeight="1" x14ac:dyDescent="0.3"/>
    <row r="930" s="4" customFormat="1" ht="14.25" customHeight="1" x14ac:dyDescent="0.3"/>
    <row r="931" s="4" customFormat="1" ht="14.25" customHeight="1" x14ac:dyDescent="0.3"/>
    <row r="932" s="4" customFormat="1" ht="14.25" customHeight="1" x14ac:dyDescent="0.3"/>
    <row r="933" s="4" customFormat="1" ht="14.25" customHeight="1" x14ac:dyDescent="0.3"/>
    <row r="934" s="4" customFormat="1" ht="14.25" customHeight="1" x14ac:dyDescent="0.3"/>
    <row r="935" s="4" customFormat="1" ht="14.25" customHeight="1" x14ac:dyDescent="0.3"/>
    <row r="936" s="4" customFormat="1" ht="14.25" customHeight="1" x14ac:dyDescent="0.3"/>
    <row r="937" s="4" customFormat="1" ht="14.25" customHeight="1" x14ac:dyDescent="0.3"/>
    <row r="938" s="4" customFormat="1" ht="14.25" customHeight="1" x14ac:dyDescent="0.3"/>
    <row r="939" s="4" customFormat="1" ht="14.25" customHeight="1" x14ac:dyDescent="0.3"/>
    <row r="940" s="4" customFormat="1" ht="14.25" customHeight="1" x14ac:dyDescent="0.3"/>
    <row r="941" s="4" customFormat="1" ht="14.25" customHeight="1" x14ac:dyDescent="0.3"/>
    <row r="942" s="4" customFormat="1" ht="14.25" customHeight="1" x14ac:dyDescent="0.3"/>
    <row r="943" s="4" customFormat="1" ht="14.25" customHeight="1" x14ac:dyDescent="0.3"/>
    <row r="944" s="4" customFormat="1" ht="14.25" customHeight="1" x14ac:dyDescent="0.3"/>
    <row r="945" s="4" customFormat="1" ht="14.25" customHeight="1" x14ac:dyDescent="0.3"/>
    <row r="946" s="4" customFormat="1" ht="14.25" customHeight="1" x14ac:dyDescent="0.3"/>
    <row r="947" s="4" customFormat="1" ht="14.25" customHeight="1" x14ac:dyDescent="0.3"/>
    <row r="948" s="4" customFormat="1" ht="14.25" customHeight="1" x14ac:dyDescent="0.3"/>
    <row r="949" s="4" customFormat="1" ht="14.25" customHeight="1" x14ac:dyDescent="0.3"/>
    <row r="950" s="4" customFormat="1" ht="14.25" customHeight="1" x14ac:dyDescent="0.3"/>
    <row r="951" s="4" customFormat="1" ht="14.25" customHeight="1" x14ac:dyDescent="0.3"/>
    <row r="952" s="4" customFormat="1" ht="14.25" customHeight="1" x14ac:dyDescent="0.3"/>
    <row r="953" s="4" customFormat="1" ht="14.25" customHeight="1" x14ac:dyDescent="0.3"/>
    <row r="954" s="4" customFormat="1" ht="14.25" customHeight="1" x14ac:dyDescent="0.3"/>
    <row r="955" s="4" customFormat="1" ht="14.25" customHeight="1" x14ac:dyDescent="0.3"/>
    <row r="956" s="4" customFormat="1" ht="14.25" customHeight="1" x14ac:dyDescent="0.3"/>
    <row r="957" s="4" customFormat="1" ht="14.25" customHeight="1" x14ac:dyDescent="0.3"/>
    <row r="958" s="4" customFormat="1" ht="14.25" customHeight="1" x14ac:dyDescent="0.3"/>
    <row r="959" s="4" customFormat="1" ht="14.25" customHeight="1" x14ac:dyDescent="0.3"/>
    <row r="960" s="4" customFormat="1" ht="14.25" customHeight="1" x14ac:dyDescent="0.3"/>
    <row r="961" s="4" customFormat="1" ht="14.25" customHeight="1" x14ac:dyDescent="0.3"/>
    <row r="962" s="4" customFormat="1" ht="14.25" customHeight="1" x14ac:dyDescent="0.3"/>
    <row r="963" s="4" customFormat="1" ht="14.25" customHeight="1" x14ac:dyDescent="0.3"/>
    <row r="964" s="4" customFormat="1" ht="14.25" customHeight="1" x14ac:dyDescent="0.3"/>
    <row r="965" s="4" customFormat="1" ht="14.25" customHeight="1" x14ac:dyDescent="0.3"/>
    <row r="966" s="4" customFormat="1" ht="14.25" customHeight="1" x14ac:dyDescent="0.3"/>
    <row r="967" s="4" customFormat="1" ht="14.25" customHeight="1" x14ac:dyDescent="0.3"/>
    <row r="968" s="4" customFormat="1" ht="14.25" customHeight="1" x14ac:dyDescent="0.3"/>
    <row r="969" s="4" customFormat="1" ht="14.25" customHeight="1" x14ac:dyDescent="0.3"/>
    <row r="970" s="4" customFormat="1" ht="14.25" customHeight="1" x14ac:dyDescent="0.3"/>
    <row r="971" s="4" customFormat="1" ht="14.25" customHeight="1" x14ac:dyDescent="0.3"/>
    <row r="972" s="4" customFormat="1" ht="14.25" customHeight="1" x14ac:dyDescent="0.3"/>
    <row r="973" s="4" customFormat="1" ht="14.25" customHeight="1" x14ac:dyDescent="0.3"/>
    <row r="974" s="4" customFormat="1" ht="14.25" customHeight="1" x14ac:dyDescent="0.3"/>
    <row r="975" s="4" customFormat="1" ht="14.25" customHeight="1" x14ac:dyDescent="0.3"/>
    <row r="976" s="4" customFormat="1" ht="14.25" customHeight="1" x14ac:dyDescent="0.3"/>
  </sheetData>
  <mergeCells count="1">
    <mergeCell ref="D2:F2"/>
  </mergeCells>
  <conditionalFormatting sqref="H9:H11">
    <cfRule type="cellIs" dxfId="2" priority="1" operator="equal">
      <formula>"Fail"</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419A9-E62E-4538-BB23-5175B14390F0}">
  <dimension ref="A1:I976"/>
  <sheetViews>
    <sheetView topLeftCell="A5" zoomScale="85" zoomScaleNormal="85" workbookViewId="0">
      <selection activeCell="G10" sqref="G10"/>
    </sheetView>
  </sheetViews>
  <sheetFormatPr defaultColWidth="14.44140625" defaultRowHeight="15.6" x14ac:dyDescent="0.3"/>
  <cols>
    <col min="1" max="1" width="17.33203125" style="4" customWidth="1"/>
    <col min="2" max="2" width="30.77734375" style="4" customWidth="1"/>
    <col min="3" max="3" width="24.33203125" style="4" customWidth="1"/>
    <col min="4" max="4" width="26.6640625" style="4" customWidth="1"/>
    <col min="5" max="5" width="35.21875" style="4" bestFit="1" customWidth="1"/>
    <col min="6" max="6" width="31.5546875" style="4" customWidth="1"/>
    <col min="7" max="7" width="29.6640625" style="4" customWidth="1"/>
    <col min="8" max="8" width="8.44140625" style="4" customWidth="1"/>
    <col min="9" max="9" width="19.88671875" style="4" customWidth="1"/>
    <col min="10" max="26" width="8.6640625" style="4" customWidth="1"/>
    <col min="27" max="16384" width="14.44140625" style="4"/>
  </cols>
  <sheetData>
    <row r="1" spans="1:9" ht="16.2" thickBot="1" x14ac:dyDescent="0.35">
      <c r="A1" s="1" t="s">
        <v>0</v>
      </c>
      <c r="B1" s="2" t="s">
        <v>22</v>
      </c>
      <c r="F1" s="3"/>
      <c r="G1" s="3"/>
      <c r="H1" s="3"/>
      <c r="I1" s="3"/>
    </row>
    <row r="2" spans="1:9" ht="16.2" thickBot="1" x14ac:dyDescent="0.35">
      <c r="A2" s="1" t="s">
        <v>2</v>
      </c>
      <c r="B2" s="2" t="s">
        <v>179</v>
      </c>
      <c r="C2" s="3"/>
      <c r="D2" s="62" t="s">
        <v>1</v>
      </c>
      <c r="E2" s="63"/>
      <c r="F2" s="64"/>
      <c r="G2" s="3"/>
      <c r="H2" s="3"/>
      <c r="I2" s="3"/>
    </row>
    <row r="3" spans="1:9" ht="16.2" thickBot="1" x14ac:dyDescent="0.35">
      <c r="A3" s="1" t="s">
        <v>3</v>
      </c>
      <c r="B3" s="2" t="s">
        <v>21</v>
      </c>
      <c r="C3" s="3"/>
      <c r="D3" s="3"/>
      <c r="E3" s="3"/>
      <c r="F3" s="3"/>
      <c r="G3" s="3"/>
      <c r="H3" s="3"/>
      <c r="I3" s="3"/>
    </row>
    <row r="4" spans="1:9" ht="16.2" thickBot="1" x14ac:dyDescent="0.35">
      <c r="A4" s="1" t="s">
        <v>4</v>
      </c>
      <c r="B4" s="5">
        <v>45976</v>
      </c>
      <c r="C4" s="6"/>
      <c r="D4" s="3"/>
      <c r="E4" s="3"/>
      <c r="F4" s="3"/>
      <c r="G4" s="3"/>
      <c r="H4" s="3"/>
      <c r="I4" s="3"/>
    </row>
    <row r="5" spans="1:9" ht="16.2" thickBot="1" x14ac:dyDescent="0.35">
      <c r="A5" s="1" t="s">
        <v>5</v>
      </c>
      <c r="B5" s="2" t="s">
        <v>6</v>
      </c>
      <c r="C5" s="3"/>
      <c r="D5" s="3"/>
      <c r="E5" s="3"/>
      <c r="F5" s="3"/>
      <c r="G5" s="3"/>
      <c r="H5" s="3"/>
      <c r="I5" s="3"/>
    </row>
    <row r="6" spans="1:9" ht="16.2" thickBot="1" x14ac:dyDescent="0.35">
      <c r="A6" s="1" t="s">
        <v>7</v>
      </c>
      <c r="B6" s="32">
        <v>45983</v>
      </c>
      <c r="C6" s="7"/>
      <c r="D6" s="3"/>
      <c r="E6" s="3"/>
      <c r="F6" s="3"/>
      <c r="G6" s="3"/>
      <c r="H6" s="3"/>
      <c r="I6" s="3"/>
    </row>
    <row r="7" spans="1:9" ht="14.25" customHeight="1" thickBot="1" x14ac:dyDescent="0.35">
      <c r="A7" s="8"/>
      <c r="B7" s="8"/>
      <c r="C7" s="8"/>
      <c r="D7" s="8"/>
      <c r="E7" s="8"/>
      <c r="F7" s="8"/>
      <c r="G7" s="8"/>
      <c r="H7" s="8"/>
      <c r="I7" s="8"/>
    </row>
    <row r="8" spans="1:9" ht="16.2" thickBot="1" x14ac:dyDescent="0.35">
      <c r="A8" s="9" t="s">
        <v>8</v>
      </c>
      <c r="B8" s="9" t="s">
        <v>9</v>
      </c>
      <c r="C8" s="9" t="s">
        <v>10</v>
      </c>
      <c r="D8" s="27" t="s">
        <v>11</v>
      </c>
      <c r="E8" s="9" t="s">
        <v>12</v>
      </c>
      <c r="F8" s="9" t="s">
        <v>13</v>
      </c>
      <c r="G8" s="9" t="s">
        <v>14</v>
      </c>
      <c r="H8" s="9" t="s">
        <v>15</v>
      </c>
      <c r="I8" s="9" t="s">
        <v>16</v>
      </c>
    </row>
    <row r="9" spans="1:9" ht="109.8" customHeight="1" thickBot="1" x14ac:dyDescent="0.35">
      <c r="A9" s="10" t="s">
        <v>180</v>
      </c>
      <c r="B9" s="15" t="s">
        <v>183</v>
      </c>
      <c r="C9" s="25" t="s">
        <v>164</v>
      </c>
      <c r="D9" s="14" t="s">
        <v>259</v>
      </c>
      <c r="E9" s="26" t="s">
        <v>260</v>
      </c>
      <c r="F9" s="16" t="s">
        <v>188</v>
      </c>
      <c r="G9" s="16" t="s">
        <v>188</v>
      </c>
      <c r="H9" s="20" t="s">
        <v>17</v>
      </c>
      <c r="I9" s="10" t="s">
        <v>265</v>
      </c>
    </row>
    <row r="10" spans="1:9" ht="109.8" customHeight="1" thickBot="1" x14ac:dyDescent="0.35">
      <c r="A10" s="10" t="s">
        <v>181</v>
      </c>
      <c r="B10" s="15" t="s">
        <v>184</v>
      </c>
      <c r="C10" s="25" t="s">
        <v>164</v>
      </c>
      <c r="D10" s="14" t="s">
        <v>261</v>
      </c>
      <c r="E10" s="26" t="s">
        <v>187</v>
      </c>
      <c r="F10" s="16" t="s">
        <v>189</v>
      </c>
      <c r="G10" s="16" t="s">
        <v>190</v>
      </c>
      <c r="H10" s="20" t="s">
        <v>18</v>
      </c>
      <c r="I10" s="10" t="s">
        <v>265</v>
      </c>
    </row>
    <row r="11" spans="1:9" ht="109.8" customHeight="1" thickBot="1" x14ac:dyDescent="0.35">
      <c r="A11" s="10" t="s">
        <v>182</v>
      </c>
      <c r="B11" s="15" t="s">
        <v>185</v>
      </c>
      <c r="C11" s="25" t="s">
        <v>164</v>
      </c>
      <c r="D11" s="14" t="s">
        <v>203</v>
      </c>
      <c r="E11" s="26" t="s">
        <v>187</v>
      </c>
      <c r="F11" s="16" t="s">
        <v>191</v>
      </c>
      <c r="G11" s="16" t="s">
        <v>191</v>
      </c>
      <c r="H11" s="20" t="s">
        <v>17</v>
      </c>
      <c r="I11" s="10" t="s">
        <v>265</v>
      </c>
    </row>
    <row r="12" spans="1:9" ht="14.25" customHeight="1" x14ac:dyDescent="0.3">
      <c r="A12" s="12"/>
      <c r="B12" s="12"/>
      <c r="C12" s="12"/>
      <c r="D12" s="12"/>
      <c r="E12" s="12"/>
      <c r="F12" s="12"/>
      <c r="G12" s="21" t="s">
        <v>17</v>
      </c>
      <c r="H12" s="22">
        <f>COUNTIF(H9:H11,"Pass")</f>
        <v>2</v>
      </c>
      <c r="I12" s="12"/>
    </row>
    <row r="13" spans="1:9" ht="14.25" customHeight="1" x14ac:dyDescent="0.3">
      <c r="A13" s="12"/>
      <c r="B13" s="12"/>
      <c r="C13" s="12"/>
      <c r="D13" s="12"/>
      <c r="E13" s="12"/>
      <c r="F13" s="12"/>
      <c r="G13" s="21" t="s">
        <v>18</v>
      </c>
      <c r="H13" s="22">
        <f>COUNTIF(H9:H11,"Fail")</f>
        <v>1</v>
      </c>
      <c r="I13" s="12"/>
    </row>
    <row r="14" spans="1:9" ht="14.25" customHeight="1" x14ac:dyDescent="0.3">
      <c r="A14" s="12"/>
      <c r="B14" s="12"/>
      <c r="C14" s="12"/>
      <c r="D14" s="12"/>
      <c r="E14" s="12"/>
      <c r="F14" s="12"/>
      <c r="G14" s="23" t="s">
        <v>19</v>
      </c>
      <c r="H14" s="24">
        <f>COUNTIF(H10:H11,"Pending")</f>
        <v>0</v>
      </c>
      <c r="I14" s="12"/>
    </row>
    <row r="15" spans="1:9" ht="14.25" customHeight="1" x14ac:dyDescent="0.3">
      <c r="G15" s="22" t="s">
        <v>20</v>
      </c>
      <c r="H15" s="22">
        <f>SUM(H12:H14)</f>
        <v>3</v>
      </c>
    </row>
    <row r="16" spans="1:9" ht="14.25" customHeight="1" x14ac:dyDescent="0.3"/>
    <row r="17" s="4" customFormat="1" ht="14.25" customHeight="1" x14ac:dyDescent="0.3"/>
    <row r="18" s="4" customFormat="1" ht="14.25" customHeight="1" x14ac:dyDescent="0.3"/>
    <row r="19" s="4" customFormat="1" ht="14.25" customHeight="1" x14ac:dyDescent="0.3"/>
    <row r="20" s="4" customFormat="1" ht="14.25" customHeight="1" x14ac:dyDescent="0.3"/>
    <row r="21" s="4" customFormat="1" ht="14.25" customHeight="1" x14ac:dyDescent="0.3"/>
    <row r="22" s="4" customFormat="1" ht="14.25" customHeight="1" x14ac:dyDescent="0.3"/>
    <row r="23" s="4" customFormat="1" ht="14.25" customHeight="1" x14ac:dyDescent="0.3"/>
    <row r="24" s="4" customFormat="1" ht="14.25" customHeight="1" x14ac:dyDescent="0.3"/>
    <row r="25" s="4" customFormat="1" ht="14.25" customHeight="1" x14ac:dyDescent="0.3"/>
    <row r="26" s="4" customFormat="1" ht="14.25" customHeight="1" x14ac:dyDescent="0.3"/>
    <row r="27" s="4" customFormat="1" ht="14.25" customHeight="1" x14ac:dyDescent="0.3"/>
    <row r="28" s="4" customFormat="1" ht="14.25" customHeight="1" x14ac:dyDescent="0.3"/>
    <row r="29" s="4" customFormat="1" ht="14.25" customHeight="1" x14ac:dyDescent="0.3"/>
    <row r="30" s="4" customFormat="1" ht="14.25" customHeight="1" x14ac:dyDescent="0.3"/>
    <row r="31" s="4" customFormat="1" ht="14.25" customHeight="1" x14ac:dyDescent="0.3"/>
    <row r="32" s="4" customFormat="1" ht="14.25" customHeight="1" x14ac:dyDescent="0.3"/>
    <row r="33" s="4" customFormat="1" ht="14.25" customHeight="1" x14ac:dyDescent="0.3"/>
    <row r="34" s="4" customFormat="1" ht="14.25" customHeight="1" x14ac:dyDescent="0.3"/>
    <row r="35" s="4" customFormat="1" ht="14.25" customHeight="1" x14ac:dyDescent="0.3"/>
    <row r="36" s="4" customFormat="1" ht="14.25" customHeight="1" x14ac:dyDescent="0.3"/>
    <row r="37" s="4" customFormat="1" ht="14.25" customHeight="1" x14ac:dyDescent="0.3"/>
    <row r="38" s="4" customFormat="1" ht="14.25" customHeight="1" x14ac:dyDescent="0.3"/>
    <row r="39" s="4" customFormat="1" ht="14.25" customHeight="1" x14ac:dyDescent="0.3"/>
    <row r="40" s="4" customFormat="1" ht="14.25" customHeight="1" x14ac:dyDescent="0.3"/>
    <row r="41" s="4" customFormat="1" ht="14.25" customHeight="1" x14ac:dyDescent="0.3"/>
    <row r="42" s="4" customFormat="1" ht="14.25" customHeight="1" x14ac:dyDescent="0.3"/>
    <row r="43" s="4" customFormat="1" ht="14.25" customHeight="1" x14ac:dyDescent="0.3"/>
    <row r="44" s="4" customFormat="1" ht="14.25" customHeight="1" x14ac:dyDescent="0.3"/>
    <row r="45" s="4" customFormat="1" ht="14.25" customHeight="1" x14ac:dyDescent="0.3"/>
    <row r="46" s="4" customFormat="1" ht="14.25" customHeight="1" x14ac:dyDescent="0.3"/>
    <row r="47" s="4" customFormat="1" ht="14.25" customHeight="1" x14ac:dyDescent="0.3"/>
    <row r="48" s="4" customFormat="1" ht="14.25" customHeight="1" x14ac:dyDescent="0.3"/>
    <row r="49" s="4" customFormat="1" ht="14.25" customHeight="1" x14ac:dyDescent="0.3"/>
    <row r="50" s="4" customFormat="1" ht="14.25" customHeight="1" x14ac:dyDescent="0.3"/>
    <row r="51" s="4" customFormat="1" ht="14.25" customHeight="1" x14ac:dyDescent="0.3"/>
    <row r="52" s="4" customFormat="1" ht="14.25" customHeight="1" x14ac:dyDescent="0.3"/>
    <row r="53" s="4" customFormat="1" ht="14.25" customHeight="1" x14ac:dyDescent="0.3"/>
    <row r="54" s="4" customFormat="1" ht="14.25" customHeight="1" x14ac:dyDescent="0.3"/>
    <row r="55" s="4" customFormat="1" ht="14.25" customHeight="1" x14ac:dyDescent="0.3"/>
    <row r="56" s="4" customFormat="1" ht="14.25" customHeight="1" x14ac:dyDescent="0.3"/>
    <row r="57" s="4" customFormat="1" ht="14.25" customHeight="1" x14ac:dyDescent="0.3"/>
    <row r="58" s="4" customFormat="1" ht="14.25" customHeight="1" x14ac:dyDescent="0.3"/>
    <row r="59" s="4" customFormat="1" ht="14.25" customHeight="1" x14ac:dyDescent="0.3"/>
    <row r="60" s="4" customFormat="1" ht="14.25" customHeight="1" x14ac:dyDescent="0.3"/>
    <row r="61" s="4" customFormat="1" ht="14.25" customHeight="1" x14ac:dyDescent="0.3"/>
    <row r="62" s="4" customFormat="1" ht="14.25" customHeight="1" x14ac:dyDescent="0.3"/>
    <row r="63" s="4" customFormat="1" ht="14.25" customHeight="1" x14ac:dyDescent="0.3"/>
    <row r="64" s="4" customFormat="1" ht="14.25" customHeight="1" x14ac:dyDescent="0.3"/>
    <row r="65" s="4" customFormat="1" ht="14.25" customHeight="1" x14ac:dyDescent="0.3"/>
    <row r="66" s="4" customFormat="1" ht="14.25" customHeight="1" x14ac:dyDescent="0.3"/>
    <row r="67" s="4" customFormat="1" ht="14.25" customHeight="1" x14ac:dyDescent="0.3"/>
    <row r="68" s="4" customFormat="1" ht="14.25" customHeight="1" x14ac:dyDescent="0.3"/>
    <row r="69" s="4" customFormat="1" ht="14.25" customHeight="1" x14ac:dyDescent="0.3"/>
    <row r="70" s="4" customFormat="1" ht="14.25" customHeight="1" x14ac:dyDescent="0.3"/>
    <row r="71" s="4" customFormat="1" ht="14.25" customHeight="1" x14ac:dyDescent="0.3"/>
    <row r="72" s="4" customFormat="1" ht="14.25" customHeight="1" x14ac:dyDescent="0.3"/>
    <row r="73" s="4" customFormat="1" ht="14.25" customHeight="1" x14ac:dyDescent="0.3"/>
    <row r="74" s="4" customFormat="1" ht="14.25" customHeight="1" x14ac:dyDescent="0.3"/>
    <row r="75" s="4" customFormat="1" ht="14.25" customHeight="1" x14ac:dyDescent="0.3"/>
    <row r="76" s="4" customFormat="1" ht="14.25" customHeight="1" x14ac:dyDescent="0.3"/>
    <row r="77" s="4" customFormat="1" ht="14.25" customHeight="1" x14ac:dyDescent="0.3"/>
    <row r="78" s="4" customFormat="1" ht="14.25" customHeight="1" x14ac:dyDescent="0.3"/>
    <row r="79" s="4" customFormat="1" ht="14.25" customHeight="1" x14ac:dyDescent="0.3"/>
    <row r="80" s="4" customFormat="1" ht="14.25" customHeight="1" x14ac:dyDescent="0.3"/>
    <row r="81" s="4" customFormat="1" ht="14.25" customHeight="1" x14ac:dyDescent="0.3"/>
    <row r="82" s="4" customFormat="1" ht="14.25" customHeight="1" x14ac:dyDescent="0.3"/>
    <row r="83" s="4" customFormat="1" ht="14.25" customHeight="1" x14ac:dyDescent="0.3"/>
    <row r="84" s="4" customFormat="1" ht="14.25" customHeight="1" x14ac:dyDescent="0.3"/>
    <row r="85" s="4" customFormat="1" ht="14.25" customHeight="1" x14ac:dyDescent="0.3"/>
    <row r="86" s="4" customFormat="1" ht="14.25" customHeight="1" x14ac:dyDescent="0.3"/>
    <row r="87" s="4" customFormat="1" ht="14.25" customHeight="1" x14ac:dyDescent="0.3"/>
    <row r="88" s="4" customFormat="1" ht="14.25" customHeight="1" x14ac:dyDescent="0.3"/>
    <row r="89" s="4" customFormat="1" ht="14.25" customHeight="1" x14ac:dyDescent="0.3"/>
    <row r="90" s="4" customFormat="1" ht="14.25" customHeight="1" x14ac:dyDescent="0.3"/>
    <row r="91" s="4" customFormat="1" ht="14.25" customHeight="1" x14ac:dyDescent="0.3"/>
    <row r="92" s="4" customFormat="1" ht="14.25" customHeight="1" x14ac:dyDescent="0.3"/>
    <row r="93" s="4" customFormat="1" ht="14.25" customHeight="1" x14ac:dyDescent="0.3"/>
    <row r="94" s="4" customFormat="1" ht="14.25" customHeight="1" x14ac:dyDescent="0.3"/>
    <row r="95" s="4" customFormat="1" ht="14.25" customHeight="1" x14ac:dyDescent="0.3"/>
    <row r="96" s="4" customFormat="1" ht="14.25" customHeight="1" x14ac:dyDescent="0.3"/>
    <row r="97" s="4" customFormat="1" ht="14.25" customHeight="1" x14ac:dyDescent="0.3"/>
    <row r="98" s="4" customFormat="1" ht="14.25" customHeight="1" x14ac:dyDescent="0.3"/>
    <row r="99" s="4" customFormat="1" ht="14.25" customHeight="1" x14ac:dyDescent="0.3"/>
    <row r="100" s="4" customFormat="1" ht="14.25" customHeight="1" x14ac:dyDescent="0.3"/>
    <row r="101" s="4" customFormat="1" ht="14.25" customHeight="1" x14ac:dyDescent="0.3"/>
    <row r="102" s="4" customFormat="1" ht="14.25" customHeight="1" x14ac:dyDescent="0.3"/>
    <row r="103" s="4" customFormat="1" ht="14.25" customHeight="1" x14ac:dyDescent="0.3"/>
    <row r="104" s="4" customFormat="1" ht="14.25" customHeight="1" x14ac:dyDescent="0.3"/>
    <row r="105" s="4" customFormat="1" ht="14.25" customHeight="1" x14ac:dyDescent="0.3"/>
    <row r="106" s="4" customFormat="1" ht="14.25" customHeight="1" x14ac:dyDescent="0.3"/>
    <row r="107" s="4" customFormat="1" ht="14.25" customHeight="1" x14ac:dyDescent="0.3"/>
    <row r="108" s="4" customFormat="1" ht="14.25" customHeight="1" x14ac:dyDescent="0.3"/>
    <row r="109" s="4" customFormat="1" ht="14.25" customHeight="1" x14ac:dyDescent="0.3"/>
    <row r="110" s="4" customFormat="1" ht="14.25" customHeight="1" x14ac:dyDescent="0.3"/>
    <row r="111" s="4" customFormat="1" ht="14.25" customHeight="1" x14ac:dyDescent="0.3"/>
    <row r="112" s="4" customFormat="1" ht="14.25" customHeight="1" x14ac:dyDescent="0.3"/>
    <row r="113" s="4" customFormat="1" ht="14.25" customHeight="1" x14ac:dyDescent="0.3"/>
    <row r="114" s="4" customFormat="1" ht="14.25" customHeight="1" x14ac:dyDescent="0.3"/>
    <row r="115" s="4" customFormat="1" ht="14.25" customHeight="1" x14ac:dyDescent="0.3"/>
    <row r="116" s="4" customFormat="1" ht="14.25" customHeight="1" x14ac:dyDescent="0.3"/>
    <row r="117" s="4" customFormat="1" ht="14.25" customHeight="1" x14ac:dyDescent="0.3"/>
    <row r="118" s="4" customFormat="1" ht="14.25" customHeight="1" x14ac:dyDescent="0.3"/>
    <row r="119" s="4" customFormat="1" ht="14.25" customHeight="1" x14ac:dyDescent="0.3"/>
    <row r="120" s="4" customFormat="1" ht="14.25" customHeight="1" x14ac:dyDescent="0.3"/>
    <row r="121" s="4" customFormat="1" ht="14.25" customHeight="1" x14ac:dyDescent="0.3"/>
    <row r="122" s="4" customFormat="1" ht="14.25" customHeight="1" x14ac:dyDescent="0.3"/>
    <row r="123" s="4" customFormat="1" ht="14.25" customHeight="1" x14ac:dyDescent="0.3"/>
    <row r="124" s="4" customFormat="1" ht="14.25" customHeight="1" x14ac:dyDescent="0.3"/>
    <row r="125" s="4" customFormat="1" ht="14.25" customHeight="1" x14ac:dyDescent="0.3"/>
    <row r="126" s="4" customFormat="1" ht="14.25" customHeight="1" x14ac:dyDescent="0.3"/>
    <row r="127" s="4" customFormat="1" ht="14.25" customHeight="1" x14ac:dyDescent="0.3"/>
    <row r="128" s="4" customFormat="1" ht="14.25" customHeight="1" x14ac:dyDescent="0.3"/>
    <row r="129" s="4" customFormat="1" ht="14.25" customHeight="1" x14ac:dyDescent="0.3"/>
    <row r="130" s="4" customFormat="1" ht="14.25" customHeight="1" x14ac:dyDescent="0.3"/>
    <row r="131" s="4" customFormat="1" ht="14.25" customHeight="1" x14ac:dyDescent="0.3"/>
    <row r="132" s="4" customFormat="1" ht="14.25" customHeight="1" x14ac:dyDescent="0.3"/>
    <row r="133" s="4" customFormat="1" ht="14.25" customHeight="1" x14ac:dyDescent="0.3"/>
    <row r="134" s="4" customFormat="1" ht="14.25" customHeight="1" x14ac:dyDescent="0.3"/>
    <row r="135" s="4" customFormat="1" ht="14.25" customHeight="1" x14ac:dyDescent="0.3"/>
    <row r="136" s="4" customFormat="1" ht="14.25" customHeight="1" x14ac:dyDescent="0.3"/>
    <row r="137" s="4" customFormat="1" ht="14.25" customHeight="1" x14ac:dyDescent="0.3"/>
    <row r="138" s="4" customFormat="1" ht="14.25" customHeight="1" x14ac:dyDescent="0.3"/>
    <row r="139" s="4" customFormat="1" ht="14.25" customHeight="1" x14ac:dyDescent="0.3"/>
    <row r="140" s="4" customFormat="1" ht="14.25" customHeight="1" x14ac:dyDescent="0.3"/>
    <row r="141" s="4" customFormat="1" ht="14.25" customHeight="1" x14ac:dyDescent="0.3"/>
    <row r="142" s="4" customFormat="1" ht="14.25" customHeight="1" x14ac:dyDescent="0.3"/>
    <row r="143" s="4" customFormat="1" ht="14.25" customHeight="1" x14ac:dyDescent="0.3"/>
    <row r="144" s="4" customFormat="1" ht="14.25" customHeight="1" x14ac:dyDescent="0.3"/>
    <row r="145" s="4" customFormat="1" ht="14.25" customHeight="1" x14ac:dyDescent="0.3"/>
    <row r="146" s="4" customFormat="1" ht="14.25" customHeight="1" x14ac:dyDescent="0.3"/>
    <row r="147" s="4" customFormat="1" ht="14.25" customHeight="1" x14ac:dyDescent="0.3"/>
    <row r="148" s="4" customFormat="1" ht="14.25" customHeight="1" x14ac:dyDescent="0.3"/>
    <row r="149" s="4" customFormat="1" ht="14.25" customHeight="1" x14ac:dyDescent="0.3"/>
    <row r="150" s="4" customFormat="1" ht="14.25" customHeight="1" x14ac:dyDescent="0.3"/>
    <row r="151" s="4" customFormat="1" ht="14.25" customHeight="1" x14ac:dyDescent="0.3"/>
    <row r="152" s="4" customFormat="1" ht="14.25" customHeight="1" x14ac:dyDescent="0.3"/>
    <row r="153" s="4" customFormat="1" ht="14.25" customHeight="1" x14ac:dyDescent="0.3"/>
    <row r="154" s="4" customFormat="1" ht="14.25" customHeight="1" x14ac:dyDescent="0.3"/>
    <row r="155" s="4" customFormat="1" ht="14.25" customHeight="1" x14ac:dyDescent="0.3"/>
    <row r="156" s="4" customFormat="1" ht="14.25" customHeight="1" x14ac:dyDescent="0.3"/>
    <row r="157" s="4" customFormat="1" ht="14.25" customHeight="1" x14ac:dyDescent="0.3"/>
    <row r="158" s="4" customFormat="1" ht="14.25" customHeight="1" x14ac:dyDescent="0.3"/>
    <row r="159" s="4" customFormat="1" ht="14.25" customHeight="1" x14ac:dyDescent="0.3"/>
    <row r="160" s="4" customFormat="1" ht="14.25" customHeight="1" x14ac:dyDescent="0.3"/>
    <row r="161" s="4" customFormat="1" ht="14.25" customHeight="1" x14ac:dyDescent="0.3"/>
    <row r="162" s="4" customFormat="1" ht="14.25" customHeight="1" x14ac:dyDescent="0.3"/>
    <row r="163" s="4" customFormat="1" ht="14.25" customHeight="1" x14ac:dyDescent="0.3"/>
    <row r="164" s="4" customFormat="1" ht="14.25" customHeight="1" x14ac:dyDescent="0.3"/>
    <row r="165" s="4" customFormat="1" ht="14.25" customHeight="1" x14ac:dyDescent="0.3"/>
    <row r="166" s="4" customFormat="1" ht="14.25" customHeight="1" x14ac:dyDescent="0.3"/>
    <row r="167" s="4" customFormat="1" ht="14.25" customHeight="1" x14ac:dyDescent="0.3"/>
    <row r="168" s="4" customFormat="1" ht="14.25" customHeight="1" x14ac:dyDescent="0.3"/>
    <row r="169" s="4" customFormat="1" ht="14.25" customHeight="1" x14ac:dyDescent="0.3"/>
    <row r="170" s="4" customFormat="1" ht="14.25" customHeight="1" x14ac:dyDescent="0.3"/>
    <row r="171" s="4" customFormat="1" ht="14.25" customHeight="1" x14ac:dyDescent="0.3"/>
    <row r="172" s="4" customFormat="1" ht="14.25" customHeight="1" x14ac:dyDescent="0.3"/>
    <row r="173" s="4" customFormat="1" ht="14.25" customHeight="1" x14ac:dyDescent="0.3"/>
    <row r="174" s="4" customFormat="1" ht="14.25" customHeight="1" x14ac:dyDescent="0.3"/>
    <row r="175" s="4" customFormat="1" ht="14.25" customHeight="1" x14ac:dyDescent="0.3"/>
    <row r="176" s="4" customFormat="1" ht="14.25" customHeight="1" x14ac:dyDescent="0.3"/>
    <row r="177" s="4" customFormat="1" ht="14.25" customHeight="1" x14ac:dyDescent="0.3"/>
    <row r="178" s="4" customFormat="1" ht="14.25" customHeight="1" x14ac:dyDescent="0.3"/>
    <row r="179" s="4" customFormat="1" ht="14.25" customHeight="1" x14ac:dyDescent="0.3"/>
    <row r="180" s="4" customFormat="1" ht="14.25" customHeight="1" x14ac:dyDescent="0.3"/>
    <row r="181" s="4" customFormat="1" ht="14.25" customHeight="1" x14ac:dyDescent="0.3"/>
    <row r="182" s="4" customFormat="1" ht="14.25" customHeight="1" x14ac:dyDescent="0.3"/>
    <row r="183" s="4" customFormat="1" ht="14.25" customHeight="1" x14ac:dyDescent="0.3"/>
    <row r="184" s="4" customFormat="1" ht="14.25" customHeight="1" x14ac:dyDescent="0.3"/>
    <row r="185" s="4" customFormat="1" ht="14.25" customHeight="1" x14ac:dyDescent="0.3"/>
    <row r="186" s="4" customFormat="1" ht="14.25" customHeight="1" x14ac:dyDescent="0.3"/>
    <row r="187" s="4" customFormat="1" ht="14.25" customHeight="1" x14ac:dyDescent="0.3"/>
    <row r="188" s="4" customFormat="1" ht="14.25" customHeight="1" x14ac:dyDescent="0.3"/>
    <row r="189" s="4" customFormat="1" ht="14.25" customHeight="1" x14ac:dyDescent="0.3"/>
    <row r="190" s="4" customFormat="1" ht="14.25" customHeight="1" x14ac:dyDescent="0.3"/>
    <row r="191" s="4" customFormat="1" ht="14.25" customHeight="1" x14ac:dyDescent="0.3"/>
    <row r="192" s="4" customFormat="1" ht="14.25" customHeight="1" x14ac:dyDescent="0.3"/>
    <row r="193" s="4" customFormat="1" ht="14.25" customHeight="1" x14ac:dyDescent="0.3"/>
    <row r="194" s="4" customFormat="1" ht="14.25" customHeight="1" x14ac:dyDescent="0.3"/>
    <row r="195" s="4" customFormat="1" ht="14.25" customHeight="1" x14ac:dyDescent="0.3"/>
    <row r="196" s="4" customFormat="1" ht="14.25" customHeight="1" x14ac:dyDescent="0.3"/>
    <row r="197" s="4" customFormat="1" ht="14.25" customHeight="1" x14ac:dyDescent="0.3"/>
    <row r="198" s="4" customFormat="1" ht="14.25" customHeight="1" x14ac:dyDescent="0.3"/>
    <row r="199" s="4" customFormat="1" ht="14.25" customHeight="1" x14ac:dyDescent="0.3"/>
    <row r="200" s="4" customFormat="1" ht="14.25" customHeight="1" x14ac:dyDescent="0.3"/>
    <row r="201" s="4" customFormat="1" ht="14.25" customHeight="1" x14ac:dyDescent="0.3"/>
    <row r="202" s="4" customFormat="1" ht="14.25" customHeight="1" x14ac:dyDescent="0.3"/>
    <row r="203" s="4" customFormat="1" ht="14.25" customHeight="1" x14ac:dyDescent="0.3"/>
    <row r="204" s="4" customFormat="1" ht="14.25" customHeight="1" x14ac:dyDescent="0.3"/>
    <row r="205" s="4" customFormat="1" ht="14.25" customHeight="1" x14ac:dyDescent="0.3"/>
    <row r="206" s="4" customFormat="1" ht="14.25" customHeight="1" x14ac:dyDescent="0.3"/>
    <row r="207" s="4" customFormat="1" ht="14.25" customHeight="1" x14ac:dyDescent="0.3"/>
    <row r="208" s="4" customFormat="1" ht="14.25" customHeight="1" x14ac:dyDescent="0.3"/>
    <row r="209" s="4" customFormat="1" ht="14.25" customHeight="1" x14ac:dyDescent="0.3"/>
    <row r="210" s="4" customFormat="1" ht="14.25" customHeight="1" x14ac:dyDescent="0.3"/>
    <row r="211" s="4" customFormat="1" ht="14.25" customHeight="1" x14ac:dyDescent="0.3"/>
    <row r="212" s="4" customFormat="1" ht="14.25" customHeight="1" x14ac:dyDescent="0.3"/>
    <row r="213" s="4" customFormat="1" ht="14.25" customHeight="1" x14ac:dyDescent="0.3"/>
    <row r="214" s="4" customFormat="1" ht="14.25" customHeight="1" x14ac:dyDescent="0.3"/>
    <row r="215" s="4" customFormat="1" ht="14.25" customHeight="1" x14ac:dyDescent="0.3"/>
    <row r="216" s="4" customFormat="1" ht="14.25" customHeight="1" x14ac:dyDescent="0.3"/>
    <row r="217" s="4" customFormat="1" ht="14.25" customHeight="1" x14ac:dyDescent="0.3"/>
    <row r="218" s="4" customFormat="1" ht="14.25" customHeight="1" x14ac:dyDescent="0.3"/>
    <row r="219" s="4" customFormat="1" ht="14.25" customHeight="1" x14ac:dyDescent="0.3"/>
    <row r="220" s="4" customFormat="1" ht="14.25" customHeight="1" x14ac:dyDescent="0.3"/>
    <row r="221" s="4" customFormat="1" ht="14.25" customHeight="1" x14ac:dyDescent="0.3"/>
    <row r="222" s="4" customFormat="1" ht="14.25" customHeight="1" x14ac:dyDescent="0.3"/>
    <row r="223" s="4" customFormat="1" ht="14.25" customHeight="1" x14ac:dyDescent="0.3"/>
    <row r="224" s="4" customFormat="1" ht="14.25" customHeight="1" x14ac:dyDescent="0.3"/>
    <row r="225" s="4" customFormat="1" ht="14.25" customHeight="1" x14ac:dyDescent="0.3"/>
    <row r="226" s="4" customFormat="1" ht="14.25" customHeight="1" x14ac:dyDescent="0.3"/>
    <row r="227" s="4" customFormat="1" ht="14.25" customHeight="1" x14ac:dyDescent="0.3"/>
    <row r="228" s="4" customFormat="1" ht="14.25" customHeight="1" x14ac:dyDescent="0.3"/>
    <row r="229" s="4" customFormat="1" ht="14.25" customHeight="1" x14ac:dyDescent="0.3"/>
    <row r="230" s="4" customFormat="1" ht="14.25" customHeight="1" x14ac:dyDescent="0.3"/>
    <row r="231" s="4" customFormat="1" ht="14.25" customHeight="1" x14ac:dyDescent="0.3"/>
    <row r="232" s="4" customFormat="1" ht="14.25" customHeight="1" x14ac:dyDescent="0.3"/>
    <row r="233" s="4" customFormat="1" ht="14.25" customHeight="1" x14ac:dyDescent="0.3"/>
    <row r="234" s="4" customFormat="1" ht="14.25" customHeight="1" x14ac:dyDescent="0.3"/>
    <row r="235" s="4" customFormat="1" ht="14.25" customHeight="1" x14ac:dyDescent="0.3"/>
    <row r="236" s="4" customFormat="1" ht="14.25" customHeight="1" x14ac:dyDescent="0.3"/>
    <row r="237" s="4" customFormat="1" ht="14.25" customHeight="1" x14ac:dyDescent="0.3"/>
    <row r="238" s="4" customFormat="1" ht="14.25" customHeight="1" x14ac:dyDescent="0.3"/>
    <row r="239" s="4" customFormat="1" ht="14.25" customHeight="1" x14ac:dyDescent="0.3"/>
    <row r="240" s="4" customFormat="1" ht="14.25" customHeight="1" x14ac:dyDescent="0.3"/>
    <row r="241" s="4" customFormat="1" ht="14.25" customHeight="1" x14ac:dyDescent="0.3"/>
    <row r="242" s="4" customFormat="1" ht="14.25" customHeight="1" x14ac:dyDescent="0.3"/>
    <row r="243" s="4" customFormat="1" ht="14.25" customHeight="1" x14ac:dyDescent="0.3"/>
    <row r="244" s="4" customFormat="1" ht="14.25" customHeight="1" x14ac:dyDescent="0.3"/>
    <row r="245" s="4" customFormat="1" ht="14.25" customHeight="1" x14ac:dyDescent="0.3"/>
    <row r="246" s="4" customFormat="1" ht="14.25" customHeight="1" x14ac:dyDescent="0.3"/>
    <row r="247" s="4" customFormat="1" ht="14.25" customHeight="1" x14ac:dyDescent="0.3"/>
    <row r="248" s="4" customFormat="1" ht="14.25" customHeight="1" x14ac:dyDescent="0.3"/>
    <row r="249" s="4" customFormat="1" ht="14.25" customHeight="1" x14ac:dyDescent="0.3"/>
    <row r="250" s="4" customFormat="1" ht="14.25" customHeight="1" x14ac:dyDescent="0.3"/>
    <row r="251" s="4" customFormat="1" ht="14.25" customHeight="1" x14ac:dyDescent="0.3"/>
    <row r="252" s="4" customFormat="1" ht="14.25" customHeight="1" x14ac:dyDescent="0.3"/>
    <row r="253" s="4" customFormat="1" ht="14.25" customHeight="1" x14ac:dyDescent="0.3"/>
    <row r="254" s="4" customFormat="1" ht="14.25" customHeight="1" x14ac:dyDescent="0.3"/>
    <row r="255" s="4" customFormat="1" ht="14.25" customHeight="1" x14ac:dyDescent="0.3"/>
    <row r="256" s="4" customFormat="1" ht="14.25" customHeight="1" x14ac:dyDescent="0.3"/>
    <row r="257" s="4" customFormat="1" ht="14.25" customHeight="1" x14ac:dyDescent="0.3"/>
    <row r="258" s="4" customFormat="1" ht="14.25" customHeight="1" x14ac:dyDescent="0.3"/>
    <row r="259" s="4" customFormat="1" ht="14.25" customHeight="1" x14ac:dyDescent="0.3"/>
    <row r="260" s="4" customFormat="1" ht="14.25" customHeight="1" x14ac:dyDescent="0.3"/>
    <row r="261" s="4" customFormat="1" ht="14.25" customHeight="1" x14ac:dyDescent="0.3"/>
    <row r="262" s="4" customFormat="1" ht="14.25" customHeight="1" x14ac:dyDescent="0.3"/>
    <row r="263" s="4" customFormat="1" ht="14.25" customHeight="1" x14ac:dyDescent="0.3"/>
    <row r="264" s="4" customFormat="1" ht="14.25" customHeight="1" x14ac:dyDescent="0.3"/>
    <row r="265" s="4" customFormat="1" ht="14.25" customHeight="1" x14ac:dyDescent="0.3"/>
    <row r="266" s="4" customFormat="1" ht="14.25" customHeight="1" x14ac:dyDescent="0.3"/>
    <row r="267" s="4" customFormat="1" ht="14.25" customHeight="1" x14ac:dyDescent="0.3"/>
    <row r="268" s="4" customFormat="1" ht="14.25" customHeight="1" x14ac:dyDescent="0.3"/>
    <row r="269" s="4" customFormat="1" ht="14.25" customHeight="1" x14ac:dyDescent="0.3"/>
    <row r="270" s="4" customFormat="1" ht="14.25" customHeight="1" x14ac:dyDescent="0.3"/>
    <row r="271" s="4" customFormat="1" ht="14.25" customHeight="1" x14ac:dyDescent="0.3"/>
    <row r="272" s="4" customFormat="1" ht="14.25" customHeight="1" x14ac:dyDescent="0.3"/>
    <row r="273" s="4" customFormat="1" ht="14.25" customHeight="1" x14ac:dyDescent="0.3"/>
    <row r="274" s="4" customFormat="1" ht="14.25" customHeight="1" x14ac:dyDescent="0.3"/>
    <row r="275" s="4" customFormat="1" ht="14.25" customHeight="1" x14ac:dyDescent="0.3"/>
    <row r="276" s="4" customFormat="1" ht="14.25" customHeight="1" x14ac:dyDescent="0.3"/>
    <row r="277" s="4" customFormat="1" ht="14.25" customHeight="1" x14ac:dyDescent="0.3"/>
    <row r="278" s="4" customFormat="1" ht="14.25" customHeight="1" x14ac:dyDescent="0.3"/>
    <row r="279" s="4" customFormat="1" ht="14.25" customHeight="1" x14ac:dyDescent="0.3"/>
    <row r="280" s="4" customFormat="1" ht="14.25" customHeight="1" x14ac:dyDescent="0.3"/>
    <row r="281" s="4" customFormat="1" ht="14.25" customHeight="1" x14ac:dyDescent="0.3"/>
    <row r="282" s="4" customFormat="1" ht="14.25" customHeight="1" x14ac:dyDescent="0.3"/>
    <row r="283" s="4" customFormat="1" ht="14.25" customHeight="1" x14ac:dyDescent="0.3"/>
    <row r="284" s="4" customFormat="1" ht="14.25" customHeight="1" x14ac:dyDescent="0.3"/>
    <row r="285" s="4" customFormat="1" ht="14.25" customHeight="1" x14ac:dyDescent="0.3"/>
    <row r="286" s="4" customFormat="1" ht="14.25" customHeight="1" x14ac:dyDescent="0.3"/>
    <row r="287" s="4" customFormat="1" ht="14.25" customHeight="1" x14ac:dyDescent="0.3"/>
    <row r="288" s="4" customFormat="1" ht="14.25" customHeight="1" x14ac:dyDescent="0.3"/>
    <row r="289" s="4" customFormat="1" ht="14.25" customHeight="1" x14ac:dyDescent="0.3"/>
    <row r="290" s="4" customFormat="1" ht="14.25" customHeight="1" x14ac:dyDescent="0.3"/>
    <row r="291" s="4" customFormat="1" ht="14.25" customHeight="1" x14ac:dyDescent="0.3"/>
    <row r="292" s="4" customFormat="1" ht="14.25" customHeight="1" x14ac:dyDescent="0.3"/>
    <row r="293" s="4" customFormat="1" ht="14.25" customHeight="1" x14ac:dyDescent="0.3"/>
    <row r="294" s="4" customFormat="1" ht="14.25" customHeight="1" x14ac:dyDescent="0.3"/>
    <row r="295" s="4" customFormat="1" ht="14.25" customHeight="1" x14ac:dyDescent="0.3"/>
    <row r="296" s="4" customFormat="1" ht="14.25" customHeight="1" x14ac:dyDescent="0.3"/>
    <row r="297" s="4" customFormat="1" ht="14.25" customHeight="1" x14ac:dyDescent="0.3"/>
    <row r="298" s="4" customFormat="1" ht="14.25" customHeight="1" x14ac:dyDescent="0.3"/>
    <row r="299" s="4" customFormat="1" ht="14.25" customHeight="1" x14ac:dyDescent="0.3"/>
    <row r="300" s="4" customFormat="1" ht="14.25" customHeight="1" x14ac:dyDescent="0.3"/>
    <row r="301" s="4" customFormat="1" ht="14.25" customHeight="1" x14ac:dyDescent="0.3"/>
    <row r="302" s="4" customFormat="1" ht="14.25" customHeight="1" x14ac:dyDescent="0.3"/>
    <row r="303" s="4" customFormat="1" ht="14.25" customHeight="1" x14ac:dyDescent="0.3"/>
    <row r="304" s="4" customFormat="1" ht="14.25" customHeight="1" x14ac:dyDescent="0.3"/>
    <row r="305" s="4" customFormat="1" ht="14.25" customHeight="1" x14ac:dyDescent="0.3"/>
    <row r="306" s="4" customFormat="1" ht="14.25" customHeight="1" x14ac:dyDescent="0.3"/>
    <row r="307" s="4" customFormat="1" ht="14.25" customHeight="1" x14ac:dyDescent="0.3"/>
    <row r="308" s="4" customFormat="1" ht="14.25" customHeight="1" x14ac:dyDescent="0.3"/>
    <row r="309" s="4" customFormat="1" ht="14.25" customHeight="1" x14ac:dyDescent="0.3"/>
    <row r="310" s="4" customFormat="1" ht="14.25" customHeight="1" x14ac:dyDescent="0.3"/>
    <row r="311" s="4" customFormat="1" ht="14.25" customHeight="1" x14ac:dyDescent="0.3"/>
    <row r="312" s="4" customFormat="1" ht="14.25" customHeight="1" x14ac:dyDescent="0.3"/>
    <row r="313" s="4" customFormat="1" ht="14.25" customHeight="1" x14ac:dyDescent="0.3"/>
    <row r="314" s="4" customFormat="1" ht="14.25" customHeight="1" x14ac:dyDescent="0.3"/>
    <row r="315" s="4" customFormat="1" ht="14.25" customHeight="1" x14ac:dyDescent="0.3"/>
    <row r="316" s="4" customFormat="1" ht="14.25" customHeight="1" x14ac:dyDescent="0.3"/>
    <row r="317" s="4" customFormat="1" ht="14.25" customHeight="1" x14ac:dyDescent="0.3"/>
    <row r="318" s="4" customFormat="1" ht="14.25" customHeight="1" x14ac:dyDescent="0.3"/>
    <row r="319" s="4" customFormat="1" ht="14.25" customHeight="1" x14ac:dyDescent="0.3"/>
    <row r="320" s="4" customFormat="1" ht="14.25" customHeight="1" x14ac:dyDescent="0.3"/>
    <row r="321" s="4" customFormat="1" ht="14.25" customHeight="1" x14ac:dyDescent="0.3"/>
    <row r="322" s="4" customFormat="1" ht="14.25" customHeight="1" x14ac:dyDescent="0.3"/>
    <row r="323" s="4" customFormat="1" ht="14.25" customHeight="1" x14ac:dyDescent="0.3"/>
    <row r="324" s="4" customFormat="1" ht="14.25" customHeight="1" x14ac:dyDescent="0.3"/>
    <row r="325" s="4" customFormat="1" ht="14.25" customHeight="1" x14ac:dyDescent="0.3"/>
    <row r="326" s="4" customFormat="1" ht="14.25" customHeight="1" x14ac:dyDescent="0.3"/>
    <row r="327" s="4" customFormat="1" ht="14.25" customHeight="1" x14ac:dyDescent="0.3"/>
    <row r="328" s="4" customFormat="1" ht="14.25" customHeight="1" x14ac:dyDescent="0.3"/>
    <row r="329" s="4" customFormat="1" ht="14.25" customHeight="1" x14ac:dyDescent="0.3"/>
    <row r="330" s="4" customFormat="1" ht="14.25" customHeight="1" x14ac:dyDescent="0.3"/>
    <row r="331" s="4" customFormat="1" ht="14.25" customHeight="1" x14ac:dyDescent="0.3"/>
    <row r="332" s="4" customFormat="1" ht="14.25" customHeight="1" x14ac:dyDescent="0.3"/>
    <row r="333" s="4" customFormat="1" ht="14.25" customHeight="1" x14ac:dyDescent="0.3"/>
    <row r="334" s="4" customFormat="1" ht="14.25" customHeight="1" x14ac:dyDescent="0.3"/>
    <row r="335" s="4" customFormat="1" ht="14.25" customHeight="1" x14ac:dyDescent="0.3"/>
    <row r="336" s="4" customFormat="1" ht="14.25" customHeight="1" x14ac:dyDescent="0.3"/>
    <row r="337" s="4" customFormat="1" ht="14.25" customHeight="1" x14ac:dyDescent="0.3"/>
    <row r="338" s="4" customFormat="1" ht="14.25" customHeight="1" x14ac:dyDescent="0.3"/>
    <row r="339" s="4" customFormat="1" ht="14.25" customHeight="1" x14ac:dyDescent="0.3"/>
    <row r="340" s="4" customFormat="1" ht="14.25" customHeight="1" x14ac:dyDescent="0.3"/>
    <row r="341" s="4" customFormat="1" ht="14.25" customHeight="1" x14ac:dyDescent="0.3"/>
    <row r="342" s="4" customFormat="1" ht="14.25" customHeight="1" x14ac:dyDescent="0.3"/>
    <row r="343" s="4" customFormat="1" ht="14.25" customHeight="1" x14ac:dyDescent="0.3"/>
    <row r="344" s="4" customFormat="1" ht="14.25" customHeight="1" x14ac:dyDescent="0.3"/>
    <row r="345" s="4" customFormat="1" ht="14.25" customHeight="1" x14ac:dyDescent="0.3"/>
    <row r="346" s="4" customFormat="1" ht="14.25" customHeight="1" x14ac:dyDescent="0.3"/>
    <row r="347" s="4" customFormat="1" ht="14.25" customHeight="1" x14ac:dyDescent="0.3"/>
    <row r="348" s="4" customFormat="1" ht="14.25" customHeight="1" x14ac:dyDescent="0.3"/>
    <row r="349" s="4" customFormat="1" ht="14.25" customHeight="1" x14ac:dyDescent="0.3"/>
    <row r="350" s="4" customFormat="1" ht="14.25" customHeight="1" x14ac:dyDescent="0.3"/>
    <row r="351" s="4" customFormat="1" ht="14.25" customHeight="1" x14ac:dyDescent="0.3"/>
    <row r="352" s="4" customFormat="1" ht="14.25" customHeight="1" x14ac:dyDescent="0.3"/>
    <row r="353" s="4" customFormat="1" ht="14.25" customHeight="1" x14ac:dyDescent="0.3"/>
    <row r="354" s="4" customFormat="1" ht="14.25" customHeight="1" x14ac:dyDescent="0.3"/>
    <row r="355" s="4" customFormat="1" ht="14.25" customHeight="1" x14ac:dyDescent="0.3"/>
    <row r="356" s="4" customFormat="1" ht="14.25" customHeight="1" x14ac:dyDescent="0.3"/>
    <row r="357" s="4" customFormat="1" ht="14.25" customHeight="1" x14ac:dyDescent="0.3"/>
    <row r="358" s="4" customFormat="1" ht="14.25" customHeight="1" x14ac:dyDescent="0.3"/>
    <row r="359" s="4" customFormat="1" ht="14.25" customHeight="1" x14ac:dyDescent="0.3"/>
    <row r="360" s="4" customFormat="1" ht="14.25" customHeight="1" x14ac:dyDescent="0.3"/>
    <row r="361" s="4" customFormat="1" ht="14.25" customHeight="1" x14ac:dyDescent="0.3"/>
    <row r="362" s="4" customFormat="1" ht="14.25" customHeight="1" x14ac:dyDescent="0.3"/>
    <row r="363" s="4" customFormat="1" ht="14.25" customHeight="1" x14ac:dyDescent="0.3"/>
    <row r="364" s="4" customFormat="1" ht="14.25" customHeight="1" x14ac:dyDescent="0.3"/>
    <row r="365" s="4" customFormat="1" ht="14.25" customHeight="1" x14ac:dyDescent="0.3"/>
    <row r="366" s="4" customFormat="1" ht="14.25" customHeight="1" x14ac:dyDescent="0.3"/>
    <row r="367" s="4" customFormat="1" ht="14.25" customHeight="1" x14ac:dyDescent="0.3"/>
    <row r="368" s="4" customFormat="1" ht="14.25" customHeight="1" x14ac:dyDescent="0.3"/>
    <row r="369" s="4" customFormat="1" ht="14.25" customHeight="1" x14ac:dyDescent="0.3"/>
    <row r="370" s="4" customFormat="1" ht="14.25" customHeight="1" x14ac:dyDescent="0.3"/>
    <row r="371" s="4" customFormat="1" ht="14.25" customHeight="1" x14ac:dyDescent="0.3"/>
    <row r="372" s="4" customFormat="1" ht="14.25" customHeight="1" x14ac:dyDescent="0.3"/>
    <row r="373" s="4" customFormat="1" ht="14.25" customHeight="1" x14ac:dyDescent="0.3"/>
    <row r="374" s="4" customFormat="1" ht="14.25" customHeight="1" x14ac:dyDescent="0.3"/>
    <row r="375" s="4" customFormat="1" ht="14.25" customHeight="1" x14ac:dyDescent="0.3"/>
    <row r="376" s="4" customFormat="1" ht="14.25" customHeight="1" x14ac:dyDescent="0.3"/>
    <row r="377" s="4" customFormat="1" ht="14.25" customHeight="1" x14ac:dyDescent="0.3"/>
    <row r="378" s="4" customFormat="1" ht="14.25" customHeight="1" x14ac:dyDescent="0.3"/>
    <row r="379" s="4" customFormat="1" ht="14.25" customHeight="1" x14ac:dyDescent="0.3"/>
    <row r="380" s="4" customFormat="1" ht="14.25" customHeight="1" x14ac:dyDescent="0.3"/>
    <row r="381" s="4" customFormat="1" ht="14.25" customHeight="1" x14ac:dyDescent="0.3"/>
    <row r="382" s="4" customFormat="1" ht="14.25" customHeight="1" x14ac:dyDescent="0.3"/>
    <row r="383" s="4" customFormat="1" ht="14.25" customHeight="1" x14ac:dyDescent="0.3"/>
    <row r="384" s="4" customFormat="1" ht="14.25" customHeight="1" x14ac:dyDescent="0.3"/>
    <row r="385" s="4" customFormat="1" ht="14.25" customHeight="1" x14ac:dyDescent="0.3"/>
    <row r="386" s="4" customFormat="1" ht="14.25" customHeight="1" x14ac:dyDescent="0.3"/>
    <row r="387" s="4" customFormat="1" ht="14.25" customHeight="1" x14ac:dyDescent="0.3"/>
    <row r="388" s="4" customFormat="1" ht="14.25" customHeight="1" x14ac:dyDescent="0.3"/>
    <row r="389" s="4" customFormat="1" ht="14.25" customHeight="1" x14ac:dyDescent="0.3"/>
    <row r="390" s="4" customFormat="1" ht="14.25" customHeight="1" x14ac:dyDescent="0.3"/>
    <row r="391" s="4" customFormat="1" ht="14.25" customHeight="1" x14ac:dyDescent="0.3"/>
    <row r="392" s="4" customFormat="1" ht="14.25" customHeight="1" x14ac:dyDescent="0.3"/>
    <row r="393" s="4" customFormat="1" ht="14.25" customHeight="1" x14ac:dyDescent="0.3"/>
    <row r="394" s="4" customFormat="1" ht="14.25" customHeight="1" x14ac:dyDescent="0.3"/>
    <row r="395" s="4" customFormat="1" ht="14.25" customHeight="1" x14ac:dyDescent="0.3"/>
    <row r="396" s="4" customFormat="1" ht="14.25" customHeight="1" x14ac:dyDescent="0.3"/>
    <row r="397" s="4" customFormat="1" ht="14.25" customHeight="1" x14ac:dyDescent="0.3"/>
    <row r="398" s="4" customFormat="1" ht="14.25" customHeight="1" x14ac:dyDescent="0.3"/>
    <row r="399" s="4" customFormat="1" ht="14.25" customHeight="1" x14ac:dyDescent="0.3"/>
    <row r="400" s="4" customFormat="1" ht="14.25" customHeight="1" x14ac:dyDescent="0.3"/>
    <row r="401" s="4" customFormat="1" ht="14.25" customHeight="1" x14ac:dyDescent="0.3"/>
    <row r="402" s="4" customFormat="1" ht="14.25" customHeight="1" x14ac:dyDescent="0.3"/>
    <row r="403" s="4" customFormat="1" ht="14.25" customHeight="1" x14ac:dyDescent="0.3"/>
    <row r="404" s="4" customFormat="1" ht="14.25" customHeight="1" x14ac:dyDescent="0.3"/>
    <row r="405" s="4" customFormat="1" ht="14.25" customHeight="1" x14ac:dyDescent="0.3"/>
    <row r="406" s="4" customFormat="1" ht="14.25" customHeight="1" x14ac:dyDescent="0.3"/>
    <row r="407" s="4" customFormat="1" ht="14.25" customHeight="1" x14ac:dyDescent="0.3"/>
    <row r="408" s="4" customFormat="1" ht="14.25" customHeight="1" x14ac:dyDescent="0.3"/>
    <row r="409" s="4" customFormat="1" ht="14.25" customHeight="1" x14ac:dyDescent="0.3"/>
    <row r="410" s="4" customFormat="1" ht="14.25" customHeight="1" x14ac:dyDescent="0.3"/>
    <row r="411" s="4" customFormat="1" ht="14.25" customHeight="1" x14ac:dyDescent="0.3"/>
    <row r="412" s="4" customFormat="1" ht="14.25" customHeight="1" x14ac:dyDescent="0.3"/>
    <row r="413" s="4" customFormat="1" ht="14.25" customHeight="1" x14ac:dyDescent="0.3"/>
    <row r="414" s="4" customFormat="1" ht="14.25" customHeight="1" x14ac:dyDescent="0.3"/>
    <row r="415" s="4" customFormat="1" ht="14.25" customHeight="1" x14ac:dyDescent="0.3"/>
    <row r="416" s="4" customFormat="1" ht="14.25" customHeight="1" x14ac:dyDescent="0.3"/>
    <row r="417" s="4" customFormat="1" ht="14.25" customHeight="1" x14ac:dyDescent="0.3"/>
    <row r="418" s="4" customFormat="1" ht="14.25" customHeight="1" x14ac:dyDescent="0.3"/>
    <row r="419" s="4" customFormat="1" ht="14.25" customHeight="1" x14ac:dyDescent="0.3"/>
    <row r="420" s="4" customFormat="1" ht="14.25" customHeight="1" x14ac:dyDescent="0.3"/>
    <row r="421" s="4" customFormat="1" ht="14.25" customHeight="1" x14ac:dyDescent="0.3"/>
    <row r="422" s="4" customFormat="1" ht="14.25" customHeight="1" x14ac:dyDescent="0.3"/>
    <row r="423" s="4" customFormat="1" ht="14.25" customHeight="1" x14ac:dyDescent="0.3"/>
    <row r="424" s="4" customFormat="1" ht="14.25" customHeight="1" x14ac:dyDescent="0.3"/>
    <row r="425" s="4" customFormat="1" ht="14.25" customHeight="1" x14ac:dyDescent="0.3"/>
    <row r="426" s="4" customFormat="1" ht="14.25" customHeight="1" x14ac:dyDescent="0.3"/>
    <row r="427" s="4" customFormat="1" ht="14.25" customHeight="1" x14ac:dyDescent="0.3"/>
    <row r="428" s="4" customFormat="1" ht="14.25" customHeight="1" x14ac:dyDescent="0.3"/>
    <row r="429" s="4" customFormat="1" ht="14.25" customHeight="1" x14ac:dyDescent="0.3"/>
    <row r="430" s="4" customFormat="1" ht="14.25" customHeight="1" x14ac:dyDescent="0.3"/>
    <row r="431" s="4" customFormat="1" ht="14.25" customHeight="1" x14ac:dyDescent="0.3"/>
    <row r="432" s="4" customFormat="1" ht="14.25" customHeight="1" x14ac:dyDescent="0.3"/>
    <row r="433" s="4" customFormat="1" ht="14.25" customHeight="1" x14ac:dyDescent="0.3"/>
    <row r="434" s="4" customFormat="1" ht="14.25" customHeight="1" x14ac:dyDescent="0.3"/>
    <row r="435" s="4" customFormat="1" ht="14.25" customHeight="1" x14ac:dyDescent="0.3"/>
    <row r="436" s="4" customFormat="1" ht="14.25" customHeight="1" x14ac:dyDescent="0.3"/>
    <row r="437" s="4" customFormat="1" ht="14.25" customHeight="1" x14ac:dyDescent="0.3"/>
    <row r="438" s="4" customFormat="1" ht="14.25" customHeight="1" x14ac:dyDescent="0.3"/>
    <row r="439" s="4" customFormat="1" ht="14.25" customHeight="1" x14ac:dyDescent="0.3"/>
    <row r="440" s="4" customFormat="1" ht="14.25" customHeight="1" x14ac:dyDescent="0.3"/>
    <row r="441" s="4" customFormat="1" ht="14.25" customHeight="1" x14ac:dyDescent="0.3"/>
    <row r="442" s="4" customFormat="1" ht="14.25" customHeight="1" x14ac:dyDescent="0.3"/>
    <row r="443" s="4" customFormat="1" ht="14.25" customHeight="1" x14ac:dyDescent="0.3"/>
    <row r="444" s="4" customFormat="1" ht="14.25" customHeight="1" x14ac:dyDescent="0.3"/>
    <row r="445" s="4" customFormat="1" ht="14.25" customHeight="1" x14ac:dyDescent="0.3"/>
    <row r="446" s="4" customFormat="1" ht="14.25" customHeight="1" x14ac:dyDescent="0.3"/>
    <row r="447" s="4" customFormat="1" ht="14.25" customHeight="1" x14ac:dyDescent="0.3"/>
    <row r="448" s="4" customFormat="1" ht="14.25" customHeight="1" x14ac:dyDescent="0.3"/>
    <row r="449" s="4" customFormat="1" ht="14.25" customHeight="1" x14ac:dyDescent="0.3"/>
    <row r="450" s="4" customFormat="1" ht="14.25" customHeight="1" x14ac:dyDescent="0.3"/>
    <row r="451" s="4" customFormat="1" ht="14.25" customHeight="1" x14ac:dyDescent="0.3"/>
    <row r="452" s="4" customFormat="1" ht="14.25" customHeight="1" x14ac:dyDescent="0.3"/>
    <row r="453" s="4" customFormat="1" ht="14.25" customHeight="1" x14ac:dyDescent="0.3"/>
    <row r="454" s="4" customFormat="1" ht="14.25" customHeight="1" x14ac:dyDescent="0.3"/>
    <row r="455" s="4" customFormat="1" ht="14.25" customHeight="1" x14ac:dyDescent="0.3"/>
    <row r="456" s="4" customFormat="1" ht="14.25" customHeight="1" x14ac:dyDescent="0.3"/>
    <row r="457" s="4" customFormat="1" ht="14.25" customHeight="1" x14ac:dyDescent="0.3"/>
    <row r="458" s="4" customFormat="1" ht="14.25" customHeight="1" x14ac:dyDescent="0.3"/>
    <row r="459" s="4" customFormat="1" ht="14.25" customHeight="1" x14ac:dyDescent="0.3"/>
    <row r="460" s="4" customFormat="1" ht="14.25" customHeight="1" x14ac:dyDescent="0.3"/>
    <row r="461" s="4" customFormat="1" ht="14.25" customHeight="1" x14ac:dyDescent="0.3"/>
    <row r="462" s="4" customFormat="1" ht="14.25" customHeight="1" x14ac:dyDescent="0.3"/>
    <row r="463" s="4" customFormat="1" ht="14.25" customHeight="1" x14ac:dyDescent="0.3"/>
    <row r="464" s="4" customFormat="1" ht="14.25" customHeight="1" x14ac:dyDescent="0.3"/>
    <row r="465" s="4" customFormat="1" ht="14.25" customHeight="1" x14ac:dyDescent="0.3"/>
    <row r="466" s="4" customFormat="1" ht="14.25" customHeight="1" x14ac:dyDescent="0.3"/>
    <row r="467" s="4" customFormat="1" ht="14.25" customHeight="1" x14ac:dyDescent="0.3"/>
    <row r="468" s="4" customFormat="1" ht="14.25" customHeight="1" x14ac:dyDescent="0.3"/>
    <row r="469" s="4" customFormat="1" ht="14.25" customHeight="1" x14ac:dyDescent="0.3"/>
    <row r="470" s="4" customFormat="1" ht="14.25" customHeight="1" x14ac:dyDescent="0.3"/>
    <row r="471" s="4" customFormat="1" ht="14.25" customHeight="1" x14ac:dyDescent="0.3"/>
    <row r="472" s="4" customFormat="1" ht="14.25" customHeight="1" x14ac:dyDescent="0.3"/>
    <row r="473" s="4" customFormat="1" ht="14.25" customHeight="1" x14ac:dyDescent="0.3"/>
    <row r="474" s="4" customFormat="1" ht="14.25" customHeight="1" x14ac:dyDescent="0.3"/>
    <row r="475" s="4" customFormat="1" ht="14.25" customHeight="1" x14ac:dyDescent="0.3"/>
    <row r="476" s="4" customFormat="1" ht="14.25" customHeight="1" x14ac:dyDescent="0.3"/>
    <row r="477" s="4" customFormat="1" ht="14.25" customHeight="1" x14ac:dyDescent="0.3"/>
    <row r="478" s="4" customFormat="1" ht="14.25" customHeight="1" x14ac:dyDescent="0.3"/>
    <row r="479" s="4" customFormat="1" ht="14.25" customHeight="1" x14ac:dyDescent="0.3"/>
    <row r="480" s="4" customFormat="1" ht="14.25" customHeight="1" x14ac:dyDescent="0.3"/>
    <row r="481" s="4" customFormat="1" ht="14.25" customHeight="1" x14ac:dyDescent="0.3"/>
    <row r="482" s="4" customFormat="1" ht="14.25" customHeight="1" x14ac:dyDescent="0.3"/>
    <row r="483" s="4" customFormat="1" ht="14.25" customHeight="1" x14ac:dyDescent="0.3"/>
    <row r="484" s="4" customFormat="1" ht="14.25" customHeight="1" x14ac:dyDescent="0.3"/>
    <row r="485" s="4" customFormat="1" ht="14.25" customHeight="1" x14ac:dyDescent="0.3"/>
    <row r="486" s="4" customFormat="1" ht="14.25" customHeight="1" x14ac:dyDescent="0.3"/>
    <row r="487" s="4" customFormat="1" ht="14.25" customHeight="1" x14ac:dyDescent="0.3"/>
    <row r="488" s="4" customFormat="1" ht="14.25" customHeight="1" x14ac:dyDescent="0.3"/>
    <row r="489" s="4" customFormat="1" ht="14.25" customHeight="1" x14ac:dyDescent="0.3"/>
    <row r="490" s="4" customFormat="1" ht="14.25" customHeight="1" x14ac:dyDescent="0.3"/>
    <row r="491" s="4" customFormat="1" ht="14.25" customHeight="1" x14ac:dyDescent="0.3"/>
    <row r="492" s="4" customFormat="1" ht="14.25" customHeight="1" x14ac:dyDescent="0.3"/>
    <row r="493" s="4" customFormat="1" ht="14.25" customHeight="1" x14ac:dyDescent="0.3"/>
    <row r="494" s="4" customFormat="1" ht="14.25" customHeight="1" x14ac:dyDescent="0.3"/>
    <row r="495" s="4" customFormat="1" ht="14.25" customHeight="1" x14ac:dyDescent="0.3"/>
    <row r="496" s="4" customFormat="1" ht="14.25" customHeight="1" x14ac:dyDescent="0.3"/>
    <row r="497" s="4" customFormat="1" ht="14.25" customHeight="1" x14ac:dyDescent="0.3"/>
    <row r="498" s="4" customFormat="1" ht="14.25" customHeight="1" x14ac:dyDescent="0.3"/>
    <row r="499" s="4" customFormat="1" ht="14.25" customHeight="1" x14ac:dyDescent="0.3"/>
    <row r="500" s="4" customFormat="1" ht="14.25" customHeight="1" x14ac:dyDescent="0.3"/>
    <row r="501" s="4" customFormat="1" ht="14.25" customHeight="1" x14ac:dyDescent="0.3"/>
    <row r="502" s="4" customFormat="1" ht="14.25" customHeight="1" x14ac:dyDescent="0.3"/>
    <row r="503" s="4" customFormat="1" ht="14.25" customHeight="1" x14ac:dyDescent="0.3"/>
    <row r="504" s="4" customFormat="1" ht="14.25" customHeight="1" x14ac:dyDescent="0.3"/>
    <row r="505" s="4" customFormat="1" ht="14.25" customHeight="1" x14ac:dyDescent="0.3"/>
    <row r="506" s="4" customFormat="1" ht="14.25" customHeight="1" x14ac:dyDescent="0.3"/>
    <row r="507" s="4" customFormat="1" ht="14.25" customHeight="1" x14ac:dyDescent="0.3"/>
    <row r="508" s="4" customFormat="1" ht="14.25" customHeight="1" x14ac:dyDescent="0.3"/>
    <row r="509" s="4" customFormat="1" ht="14.25" customHeight="1" x14ac:dyDescent="0.3"/>
    <row r="510" s="4" customFormat="1" ht="14.25" customHeight="1" x14ac:dyDescent="0.3"/>
    <row r="511" s="4" customFormat="1" ht="14.25" customHeight="1" x14ac:dyDescent="0.3"/>
    <row r="512" s="4" customFormat="1" ht="14.25" customHeight="1" x14ac:dyDescent="0.3"/>
    <row r="513" s="4" customFormat="1" ht="14.25" customHeight="1" x14ac:dyDescent="0.3"/>
    <row r="514" s="4" customFormat="1" ht="14.25" customHeight="1" x14ac:dyDescent="0.3"/>
    <row r="515" s="4" customFormat="1" ht="14.25" customHeight="1" x14ac:dyDescent="0.3"/>
    <row r="516" s="4" customFormat="1" ht="14.25" customHeight="1" x14ac:dyDescent="0.3"/>
    <row r="517" s="4" customFormat="1" ht="14.25" customHeight="1" x14ac:dyDescent="0.3"/>
    <row r="518" s="4" customFormat="1" ht="14.25" customHeight="1" x14ac:dyDescent="0.3"/>
    <row r="519" s="4" customFormat="1" ht="14.25" customHeight="1" x14ac:dyDescent="0.3"/>
    <row r="520" s="4" customFormat="1" ht="14.25" customHeight="1" x14ac:dyDescent="0.3"/>
    <row r="521" s="4" customFormat="1" ht="14.25" customHeight="1" x14ac:dyDescent="0.3"/>
    <row r="522" s="4" customFormat="1" ht="14.25" customHeight="1" x14ac:dyDescent="0.3"/>
    <row r="523" s="4" customFormat="1" ht="14.25" customHeight="1" x14ac:dyDescent="0.3"/>
    <row r="524" s="4" customFormat="1" ht="14.25" customHeight="1" x14ac:dyDescent="0.3"/>
    <row r="525" s="4" customFormat="1" ht="14.25" customHeight="1" x14ac:dyDescent="0.3"/>
    <row r="526" s="4" customFormat="1" ht="14.25" customHeight="1" x14ac:dyDescent="0.3"/>
    <row r="527" s="4" customFormat="1" ht="14.25" customHeight="1" x14ac:dyDescent="0.3"/>
    <row r="528" s="4" customFormat="1" ht="14.25" customHeight="1" x14ac:dyDescent="0.3"/>
    <row r="529" s="4" customFormat="1" ht="14.25" customHeight="1" x14ac:dyDescent="0.3"/>
    <row r="530" s="4" customFormat="1" ht="14.25" customHeight="1" x14ac:dyDescent="0.3"/>
    <row r="531" s="4" customFormat="1" ht="14.25" customHeight="1" x14ac:dyDescent="0.3"/>
    <row r="532" s="4" customFormat="1" ht="14.25" customHeight="1" x14ac:dyDescent="0.3"/>
    <row r="533" s="4" customFormat="1" ht="14.25" customHeight="1" x14ac:dyDescent="0.3"/>
    <row r="534" s="4" customFormat="1" ht="14.25" customHeight="1" x14ac:dyDescent="0.3"/>
    <row r="535" s="4" customFormat="1" ht="14.25" customHeight="1" x14ac:dyDescent="0.3"/>
    <row r="536" s="4" customFormat="1" ht="14.25" customHeight="1" x14ac:dyDescent="0.3"/>
    <row r="537" s="4" customFormat="1" ht="14.25" customHeight="1" x14ac:dyDescent="0.3"/>
    <row r="538" s="4" customFormat="1" ht="14.25" customHeight="1" x14ac:dyDescent="0.3"/>
    <row r="539" s="4" customFormat="1" ht="14.25" customHeight="1" x14ac:dyDescent="0.3"/>
    <row r="540" s="4" customFormat="1" ht="14.25" customHeight="1" x14ac:dyDescent="0.3"/>
    <row r="541" s="4" customFormat="1" ht="14.25" customHeight="1" x14ac:dyDescent="0.3"/>
    <row r="542" s="4" customFormat="1" ht="14.25" customHeight="1" x14ac:dyDescent="0.3"/>
    <row r="543" s="4" customFormat="1" ht="14.25" customHeight="1" x14ac:dyDescent="0.3"/>
    <row r="544" s="4" customFormat="1" ht="14.25" customHeight="1" x14ac:dyDescent="0.3"/>
    <row r="545" s="4" customFormat="1" ht="14.25" customHeight="1" x14ac:dyDescent="0.3"/>
    <row r="546" s="4" customFormat="1" ht="14.25" customHeight="1" x14ac:dyDescent="0.3"/>
    <row r="547" s="4" customFormat="1" ht="14.25" customHeight="1" x14ac:dyDescent="0.3"/>
    <row r="548" s="4" customFormat="1" ht="14.25" customHeight="1" x14ac:dyDescent="0.3"/>
    <row r="549" s="4" customFormat="1" ht="14.25" customHeight="1" x14ac:dyDescent="0.3"/>
    <row r="550" s="4" customFormat="1" ht="14.25" customHeight="1" x14ac:dyDescent="0.3"/>
    <row r="551" s="4" customFormat="1" ht="14.25" customHeight="1" x14ac:dyDescent="0.3"/>
    <row r="552" s="4" customFormat="1" ht="14.25" customHeight="1" x14ac:dyDescent="0.3"/>
    <row r="553" s="4" customFormat="1" ht="14.25" customHeight="1" x14ac:dyDescent="0.3"/>
    <row r="554" s="4" customFormat="1" ht="14.25" customHeight="1" x14ac:dyDescent="0.3"/>
    <row r="555" s="4" customFormat="1" ht="14.25" customHeight="1" x14ac:dyDescent="0.3"/>
    <row r="556" s="4" customFormat="1" ht="14.25" customHeight="1" x14ac:dyDescent="0.3"/>
    <row r="557" s="4" customFormat="1" ht="14.25" customHeight="1" x14ac:dyDescent="0.3"/>
    <row r="558" s="4" customFormat="1" ht="14.25" customHeight="1" x14ac:dyDescent="0.3"/>
    <row r="559" s="4" customFormat="1" ht="14.25" customHeight="1" x14ac:dyDescent="0.3"/>
    <row r="560" s="4" customFormat="1" ht="14.25" customHeight="1" x14ac:dyDescent="0.3"/>
    <row r="561" s="4" customFormat="1" ht="14.25" customHeight="1" x14ac:dyDescent="0.3"/>
    <row r="562" s="4" customFormat="1" ht="14.25" customHeight="1" x14ac:dyDescent="0.3"/>
    <row r="563" s="4" customFormat="1" ht="14.25" customHeight="1" x14ac:dyDescent="0.3"/>
    <row r="564" s="4" customFormat="1" ht="14.25" customHeight="1" x14ac:dyDescent="0.3"/>
    <row r="565" s="4" customFormat="1" ht="14.25" customHeight="1" x14ac:dyDescent="0.3"/>
    <row r="566" s="4" customFormat="1" ht="14.25" customHeight="1" x14ac:dyDescent="0.3"/>
    <row r="567" s="4" customFormat="1" ht="14.25" customHeight="1" x14ac:dyDescent="0.3"/>
    <row r="568" s="4" customFormat="1" ht="14.25" customHeight="1" x14ac:dyDescent="0.3"/>
    <row r="569" s="4" customFormat="1" ht="14.25" customHeight="1" x14ac:dyDescent="0.3"/>
    <row r="570" s="4" customFormat="1" ht="14.25" customHeight="1" x14ac:dyDescent="0.3"/>
    <row r="571" s="4" customFormat="1" ht="14.25" customHeight="1" x14ac:dyDescent="0.3"/>
    <row r="572" s="4" customFormat="1" ht="14.25" customHeight="1" x14ac:dyDescent="0.3"/>
    <row r="573" s="4" customFormat="1" ht="14.25" customHeight="1" x14ac:dyDescent="0.3"/>
    <row r="574" s="4" customFormat="1" ht="14.25" customHeight="1" x14ac:dyDescent="0.3"/>
    <row r="575" s="4" customFormat="1" ht="14.25" customHeight="1" x14ac:dyDescent="0.3"/>
    <row r="576" s="4" customFormat="1" ht="14.25" customHeight="1" x14ac:dyDescent="0.3"/>
    <row r="577" s="4" customFormat="1" ht="14.25" customHeight="1" x14ac:dyDescent="0.3"/>
    <row r="578" s="4" customFormat="1" ht="14.25" customHeight="1" x14ac:dyDescent="0.3"/>
    <row r="579" s="4" customFormat="1" ht="14.25" customHeight="1" x14ac:dyDescent="0.3"/>
    <row r="580" s="4" customFormat="1" ht="14.25" customHeight="1" x14ac:dyDescent="0.3"/>
    <row r="581" s="4" customFormat="1" ht="14.25" customHeight="1" x14ac:dyDescent="0.3"/>
    <row r="582" s="4" customFormat="1" ht="14.25" customHeight="1" x14ac:dyDescent="0.3"/>
    <row r="583" s="4" customFormat="1" ht="14.25" customHeight="1" x14ac:dyDescent="0.3"/>
    <row r="584" s="4" customFormat="1" ht="14.25" customHeight="1" x14ac:dyDescent="0.3"/>
    <row r="585" s="4" customFormat="1" ht="14.25" customHeight="1" x14ac:dyDescent="0.3"/>
    <row r="586" s="4" customFormat="1" ht="14.25" customHeight="1" x14ac:dyDescent="0.3"/>
    <row r="587" s="4" customFormat="1" ht="14.25" customHeight="1" x14ac:dyDescent="0.3"/>
    <row r="588" s="4" customFormat="1" ht="14.25" customHeight="1" x14ac:dyDescent="0.3"/>
    <row r="589" s="4" customFormat="1" ht="14.25" customHeight="1" x14ac:dyDescent="0.3"/>
    <row r="590" s="4" customFormat="1" ht="14.25" customHeight="1" x14ac:dyDescent="0.3"/>
    <row r="591" s="4" customFormat="1" ht="14.25" customHeight="1" x14ac:dyDescent="0.3"/>
    <row r="592" s="4" customFormat="1" ht="14.25" customHeight="1" x14ac:dyDescent="0.3"/>
    <row r="593" s="4" customFormat="1" ht="14.25" customHeight="1" x14ac:dyDescent="0.3"/>
    <row r="594" s="4" customFormat="1" ht="14.25" customHeight="1" x14ac:dyDescent="0.3"/>
    <row r="595" s="4" customFormat="1" ht="14.25" customHeight="1" x14ac:dyDescent="0.3"/>
    <row r="596" s="4" customFormat="1" ht="14.25" customHeight="1" x14ac:dyDescent="0.3"/>
    <row r="597" s="4" customFormat="1" ht="14.25" customHeight="1" x14ac:dyDescent="0.3"/>
    <row r="598" s="4" customFormat="1" ht="14.25" customHeight="1" x14ac:dyDescent="0.3"/>
    <row r="599" s="4" customFormat="1" ht="14.25" customHeight="1" x14ac:dyDescent="0.3"/>
    <row r="600" s="4" customFormat="1" ht="14.25" customHeight="1" x14ac:dyDescent="0.3"/>
    <row r="601" s="4" customFormat="1" ht="14.25" customHeight="1" x14ac:dyDescent="0.3"/>
    <row r="602" s="4" customFormat="1" ht="14.25" customHeight="1" x14ac:dyDescent="0.3"/>
    <row r="603" s="4" customFormat="1" ht="14.25" customHeight="1" x14ac:dyDescent="0.3"/>
    <row r="604" s="4" customFormat="1" ht="14.25" customHeight="1" x14ac:dyDescent="0.3"/>
    <row r="605" s="4" customFormat="1" ht="14.25" customHeight="1" x14ac:dyDescent="0.3"/>
    <row r="606" s="4" customFormat="1" ht="14.25" customHeight="1" x14ac:dyDescent="0.3"/>
    <row r="607" s="4" customFormat="1" ht="14.25" customHeight="1" x14ac:dyDescent="0.3"/>
    <row r="608" s="4" customFormat="1" ht="14.25" customHeight="1" x14ac:dyDescent="0.3"/>
    <row r="609" s="4" customFormat="1" ht="14.25" customHeight="1" x14ac:dyDescent="0.3"/>
    <row r="610" s="4" customFormat="1" ht="14.25" customHeight="1" x14ac:dyDescent="0.3"/>
    <row r="611" s="4" customFormat="1" ht="14.25" customHeight="1" x14ac:dyDescent="0.3"/>
    <row r="612" s="4" customFormat="1" ht="14.25" customHeight="1" x14ac:dyDescent="0.3"/>
    <row r="613" s="4" customFormat="1" ht="14.25" customHeight="1" x14ac:dyDescent="0.3"/>
    <row r="614" s="4" customFormat="1" ht="14.25" customHeight="1" x14ac:dyDescent="0.3"/>
    <row r="615" s="4" customFormat="1" ht="14.25" customHeight="1" x14ac:dyDescent="0.3"/>
    <row r="616" s="4" customFormat="1" ht="14.25" customHeight="1" x14ac:dyDescent="0.3"/>
    <row r="617" s="4" customFormat="1" ht="14.25" customHeight="1" x14ac:dyDescent="0.3"/>
    <row r="618" s="4" customFormat="1" ht="14.25" customHeight="1" x14ac:dyDescent="0.3"/>
    <row r="619" s="4" customFormat="1" ht="14.25" customHeight="1" x14ac:dyDescent="0.3"/>
    <row r="620" s="4" customFormat="1" ht="14.25" customHeight="1" x14ac:dyDescent="0.3"/>
    <row r="621" s="4" customFormat="1" ht="14.25" customHeight="1" x14ac:dyDescent="0.3"/>
    <row r="622" s="4" customFormat="1" ht="14.25" customHeight="1" x14ac:dyDescent="0.3"/>
    <row r="623" s="4" customFormat="1" ht="14.25" customHeight="1" x14ac:dyDescent="0.3"/>
    <row r="624" s="4" customFormat="1" ht="14.25" customHeight="1" x14ac:dyDescent="0.3"/>
    <row r="625" s="4" customFormat="1" ht="14.25" customHeight="1" x14ac:dyDescent="0.3"/>
    <row r="626" s="4" customFormat="1" ht="14.25" customHeight="1" x14ac:dyDescent="0.3"/>
    <row r="627" s="4" customFormat="1" ht="14.25" customHeight="1" x14ac:dyDescent="0.3"/>
    <row r="628" s="4" customFormat="1" ht="14.25" customHeight="1" x14ac:dyDescent="0.3"/>
    <row r="629" s="4" customFormat="1" ht="14.25" customHeight="1" x14ac:dyDescent="0.3"/>
    <row r="630" s="4" customFormat="1" ht="14.25" customHeight="1" x14ac:dyDescent="0.3"/>
    <row r="631" s="4" customFormat="1" ht="14.25" customHeight="1" x14ac:dyDescent="0.3"/>
    <row r="632" s="4" customFormat="1" ht="14.25" customHeight="1" x14ac:dyDescent="0.3"/>
    <row r="633" s="4" customFormat="1" ht="14.25" customHeight="1" x14ac:dyDescent="0.3"/>
    <row r="634" s="4" customFormat="1" ht="14.25" customHeight="1" x14ac:dyDescent="0.3"/>
    <row r="635" s="4" customFormat="1" ht="14.25" customHeight="1" x14ac:dyDescent="0.3"/>
    <row r="636" s="4" customFormat="1" ht="14.25" customHeight="1" x14ac:dyDescent="0.3"/>
    <row r="637" s="4" customFormat="1" ht="14.25" customHeight="1" x14ac:dyDescent="0.3"/>
    <row r="638" s="4" customFormat="1" ht="14.25" customHeight="1" x14ac:dyDescent="0.3"/>
    <row r="639" s="4" customFormat="1" ht="14.25" customHeight="1" x14ac:dyDescent="0.3"/>
    <row r="640" s="4" customFormat="1" ht="14.25" customHeight="1" x14ac:dyDescent="0.3"/>
    <row r="641" s="4" customFormat="1" ht="14.25" customHeight="1" x14ac:dyDescent="0.3"/>
    <row r="642" s="4" customFormat="1" ht="14.25" customHeight="1" x14ac:dyDescent="0.3"/>
    <row r="643" s="4" customFormat="1" ht="14.25" customHeight="1" x14ac:dyDescent="0.3"/>
    <row r="644" s="4" customFormat="1" ht="14.25" customHeight="1" x14ac:dyDescent="0.3"/>
    <row r="645" s="4" customFormat="1" ht="14.25" customHeight="1" x14ac:dyDescent="0.3"/>
    <row r="646" s="4" customFormat="1" ht="14.25" customHeight="1" x14ac:dyDescent="0.3"/>
    <row r="647" s="4" customFormat="1" ht="14.25" customHeight="1" x14ac:dyDescent="0.3"/>
    <row r="648" s="4" customFormat="1" ht="14.25" customHeight="1" x14ac:dyDescent="0.3"/>
    <row r="649" s="4" customFormat="1" ht="14.25" customHeight="1" x14ac:dyDescent="0.3"/>
    <row r="650" s="4" customFormat="1" ht="14.25" customHeight="1" x14ac:dyDescent="0.3"/>
    <row r="651" s="4" customFormat="1" ht="14.25" customHeight="1" x14ac:dyDescent="0.3"/>
    <row r="652" s="4" customFormat="1" ht="14.25" customHeight="1" x14ac:dyDescent="0.3"/>
    <row r="653" s="4" customFormat="1" ht="14.25" customHeight="1" x14ac:dyDescent="0.3"/>
    <row r="654" s="4" customFormat="1" ht="14.25" customHeight="1" x14ac:dyDescent="0.3"/>
    <row r="655" s="4" customFormat="1" ht="14.25" customHeight="1" x14ac:dyDescent="0.3"/>
    <row r="656" s="4" customFormat="1" ht="14.25" customHeight="1" x14ac:dyDescent="0.3"/>
    <row r="657" s="4" customFormat="1" ht="14.25" customHeight="1" x14ac:dyDescent="0.3"/>
    <row r="658" s="4" customFormat="1" ht="14.25" customHeight="1" x14ac:dyDescent="0.3"/>
    <row r="659" s="4" customFormat="1" ht="14.25" customHeight="1" x14ac:dyDescent="0.3"/>
    <row r="660" s="4" customFormat="1" ht="14.25" customHeight="1" x14ac:dyDescent="0.3"/>
    <row r="661" s="4" customFormat="1" ht="14.25" customHeight="1" x14ac:dyDescent="0.3"/>
    <row r="662" s="4" customFormat="1" ht="14.25" customHeight="1" x14ac:dyDescent="0.3"/>
    <row r="663" s="4" customFormat="1" ht="14.25" customHeight="1" x14ac:dyDescent="0.3"/>
    <row r="664" s="4" customFormat="1" ht="14.25" customHeight="1" x14ac:dyDescent="0.3"/>
    <row r="665" s="4" customFormat="1" ht="14.25" customHeight="1" x14ac:dyDescent="0.3"/>
    <row r="666" s="4" customFormat="1" ht="14.25" customHeight="1" x14ac:dyDescent="0.3"/>
    <row r="667" s="4" customFormat="1" ht="14.25" customHeight="1" x14ac:dyDescent="0.3"/>
    <row r="668" s="4" customFormat="1" ht="14.25" customHeight="1" x14ac:dyDescent="0.3"/>
    <row r="669" s="4" customFormat="1" ht="14.25" customHeight="1" x14ac:dyDescent="0.3"/>
    <row r="670" s="4" customFormat="1" ht="14.25" customHeight="1" x14ac:dyDescent="0.3"/>
    <row r="671" s="4" customFormat="1" ht="14.25" customHeight="1" x14ac:dyDescent="0.3"/>
    <row r="672" s="4" customFormat="1" ht="14.25" customHeight="1" x14ac:dyDescent="0.3"/>
    <row r="673" s="4" customFormat="1" ht="14.25" customHeight="1" x14ac:dyDescent="0.3"/>
    <row r="674" s="4" customFormat="1" ht="14.25" customHeight="1" x14ac:dyDescent="0.3"/>
    <row r="675" s="4" customFormat="1" ht="14.25" customHeight="1" x14ac:dyDescent="0.3"/>
    <row r="676" s="4" customFormat="1" ht="14.25" customHeight="1" x14ac:dyDescent="0.3"/>
    <row r="677" s="4" customFormat="1" ht="14.25" customHeight="1" x14ac:dyDescent="0.3"/>
    <row r="678" s="4" customFormat="1" ht="14.25" customHeight="1" x14ac:dyDescent="0.3"/>
    <row r="679" s="4" customFormat="1" ht="14.25" customHeight="1" x14ac:dyDescent="0.3"/>
    <row r="680" s="4" customFormat="1" ht="14.25" customHeight="1" x14ac:dyDescent="0.3"/>
    <row r="681" s="4" customFormat="1" ht="14.25" customHeight="1" x14ac:dyDescent="0.3"/>
    <row r="682" s="4" customFormat="1" ht="14.25" customHeight="1" x14ac:dyDescent="0.3"/>
    <row r="683" s="4" customFormat="1" ht="14.25" customHeight="1" x14ac:dyDescent="0.3"/>
    <row r="684" s="4" customFormat="1" ht="14.25" customHeight="1" x14ac:dyDescent="0.3"/>
    <row r="685" s="4" customFormat="1" ht="14.25" customHeight="1" x14ac:dyDescent="0.3"/>
    <row r="686" s="4" customFormat="1" ht="14.25" customHeight="1" x14ac:dyDescent="0.3"/>
    <row r="687" s="4" customFormat="1" ht="14.25" customHeight="1" x14ac:dyDescent="0.3"/>
    <row r="688" s="4" customFormat="1" ht="14.25" customHeight="1" x14ac:dyDescent="0.3"/>
    <row r="689" s="4" customFormat="1" ht="14.25" customHeight="1" x14ac:dyDescent="0.3"/>
    <row r="690" s="4" customFormat="1" ht="14.25" customHeight="1" x14ac:dyDescent="0.3"/>
    <row r="691" s="4" customFormat="1" ht="14.25" customHeight="1" x14ac:dyDescent="0.3"/>
    <row r="692" s="4" customFormat="1" ht="14.25" customHeight="1" x14ac:dyDescent="0.3"/>
    <row r="693" s="4" customFormat="1" ht="14.25" customHeight="1" x14ac:dyDescent="0.3"/>
    <row r="694" s="4" customFormat="1" ht="14.25" customHeight="1" x14ac:dyDescent="0.3"/>
    <row r="695" s="4" customFormat="1" ht="14.25" customHeight="1" x14ac:dyDescent="0.3"/>
    <row r="696" s="4" customFormat="1" ht="14.25" customHeight="1" x14ac:dyDescent="0.3"/>
    <row r="697" s="4" customFormat="1" ht="14.25" customHeight="1" x14ac:dyDescent="0.3"/>
    <row r="698" s="4" customFormat="1" ht="14.25" customHeight="1" x14ac:dyDescent="0.3"/>
    <row r="699" s="4" customFormat="1" ht="14.25" customHeight="1" x14ac:dyDescent="0.3"/>
    <row r="700" s="4" customFormat="1" ht="14.25" customHeight="1" x14ac:dyDescent="0.3"/>
    <row r="701" s="4" customFormat="1" ht="14.25" customHeight="1" x14ac:dyDescent="0.3"/>
    <row r="702" s="4" customFormat="1" ht="14.25" customHeight="1" x14ac:dyDescent="0.3"/>
    <row r="703" s="4" customFormat="1" ht="14.25" customHeight="1" x14ac:dyDescent="0.3"/>
    <row r="704" s="4" customFormat="1" ht="14.25" customHeight="1" x14ac:dyDescent="0.3"/>
    <row r="705" s="4" customFormat="1" ht="14.25" customHeight="1" x14ac:dyDescent="0.3"/>
    <row r="706" s="4" customFormat="1" ht="14.25" customHeight="1" x14ac:dyDescent="0.3"/>
    <row r="707" s="4" customFormat="1" ht="14.25" customHeight="1" x14ac:dyDescent="0.3"/>
    <row r="708" s="4" customFormat="1" ht="14.25" customHeight="1" x14ac:dyDescent="0.3"/>
    <row r="709" s="4" customFormat="1" ht="14.25" customHeight="1" x14ac:dyDescent="0.3"/>
    <row r="710" s="4" customFormat="1" ht="14.25" customHeight="1" x14ac:dyDescent="0.3"/>
    <row r="711" s="4" customFormat="1" ht="14.25" customHeight="1" x14ac:dyDescent="0.3"/>
    <row r="712" s="4" customFormat="1" ht="14.25" customHeight="1" x14ac:dyDescent="0.3"/>
    <row r="713" s="4" customFormat="1" ht="14.25" customHeight="1" x14ac:dyDescent="0.3"/>
    <row r="714" s="4" customFormat="1" ht="14.25" customHeight="1" x14ac:dyDescent="0.3"/>
    <row r="715" s="4" customFormat="1" ht="14.25" customHeight="1" x14ac:dyDescent="0.3"/>
    <row r="716" s="4" customFormat="1" ht="14.25" customHeight="1" x14ac:dyDescent="0.3"/>
    <row r="717" s="4" customFormat="1" ht="14.25" customHeight="1" x14ac:dyDescent="0.3"/>
    <row r="718" s="4" customFormat="1" ht="14.25" customHeight="1" x14ac:dyDescent="0.3"/>
    <row r="719" s="4" customFormat="1" ht="14.25" customHeight="1" x14ac:dyDescent="0.3"/>
    <row r="720" s="4" customFormat="1" ht="14.25" customHeight="1" x14ac:dyDescent="0.3"/>
    <row r="721" s="4" customFormat="1" ht="14.25" customHeight="1" x14ac:dyDescent="0.3"/>
    <row r="722" s="4" customFormat="1" ht="14.25" customHeight="1" x14ac:dyDescent="0.3"/>
    <row r="723" s="4" customFormat="1" ht="14.25" customHeight="1" x14ac:dyDescent="0.3"/>
    <row r="724" s="4" customFormat="1" ht="14.25" customHeight="1" x14ac:dyDescent="0.3"/>
    <row r="725" s="4" customFormat="1" ht="14.25" customHeight="1" x14ac:dyDescent="0.3"/>
    <row r="726" s="4" customFormat="1" ht="14.25" customHeight="1" x14ac:dyDescent="0.3"/>
    <row r="727" s="4" customFormat="1" ht="14.25" customHeight="1" x14ac:dyDescent="0.3"/>
    <row r="728" s="4" customFormat="1" ht="14.25" customHeight="1" x14ac:dyDescent="0.3"/>
    <row r="729" s="4" customFormat="1" ht="14.25" customHeight="1" x14ac:dyDescent="0.3"/>
    <row r="730" s="4" customFormat="1" ht="14.25" customHeight="1" x14ac:dyDescent="0.3"/>
    <row r="731" s="4" customFormat="1" ht="14.25" customHeight="1" x14ac:dyDescent="0.3"/>
    <row r="732" s="4" customFormat="1" ht="14.25" customHeight="1" x14ac:dyDescent="0.3"/>
    <row r="733" s="4" customFormat="1" ht="14.25" customHeight="1" x14ac:dyDescent="0.3"/>
    <row r="734" s="4" customFormat="1" ht="14.25" customHeight="1" x14ac:dyDescent="0.3"/>
    <row r="735" s="4" customFormat="1" ht="14.25" customHeight="1" x14ac:dyDescent="0.3"/>
    <row r="736" s="4" customFormat="1" ht="14.25" customHeight="1" x14ac:dyDescent="0.3"/>
    <row r="737" s="4" customFormat="1" ht="14.25" customHeight="1" x14ac:dyDescent="0.3"/>
    <row r="738" s="4" customFormat="1" ht="14.25" customHeight="1" x14ac:dyDescent="0.3"/>
    <row r="739" s="4" customFormat="1" ht="14.25" customHeight="1" x14ac:dyDescent="0.3"/>
    <row r="740" s="4" customFormat="1" ht="14.25" customHeight="1" x14ac:dyDescent="0.3"/>
    <row r="741" s="4" customFormat="1" ht="14.25" customHeight="1" x14ac:dyDescent="0.3"/>
    <row r="742" s="4" customFormat="1" ht="14.25" customHeight="1" x14ac:dyDescent="0.3"/>
    <row r="743" s="4" customFormat="1" ht="14.25" customHeight="1" x14ac:dyDescent="0.3"/>
    <row r="744" s="4" customFormat="1" ht="14.25" customHeight="1" x14ac:dyDescent="0.3"/>
    <row r="745" s="4" customFormat="1" ht="14.25" customHeight="1" x14ac:dyDescent="0.3"/>
    <row r="746" s="4" customFormat="1" ht="14.25" customHeight="1" x14ac:dyDescent="0.3"/>
    <row r="747" s="4" customFormat="1" ht="14.25" customHeight="1" x14ac:dyDescent="0.3"/>
    <row r="748" s="4" customFormat="1" ht="14.25" customHeight="1" x14ac:dyDescent="0.3"/>
    <row r="749" s="4" customFormat="1" ht="14.25" customHeight="1" x14ac:dyDescent="0.3"/>
    <row r="750" s="4" customFormat="1" ht="14.25" customHeight="1" x14ac:dyDescent="0.3"/>
    <row r="751" s="4" customFormat="1" ht="14.25" customHeight="1" x14ac:dyDescent="0.3"/>
    <row r="752" s="4" customFormat="1" ht="14.25" customHeight="1" x14ac:dyDescent="0.3"/>
    <row r="753" s="4" customFormat="1" ht="14.25" customHeight="1" x14ac:dyDescent="0.3"/>
    <row r="754" s="4" customFormat="1" ht="14.25" customHeight="1" x14ac:dyDescent="0.3"/>
    <row r="755" s="4" customFormat="1" ht="14.25" customHeight="1" x14ac:dyDescent="0.3"/>
    <row r="756" s="4" customFormat="1" ht="14.25" customHeight="1" x14ac:dyDescent="0.3"/>
    <row r="757" s="4" customFormat="1" ht="14.25" customHeight="1" x14ac:dyDescent="0.3"/>
    <row r="758" s="4" customFormat="1" ht="14.25" customHeight="1" x14ac:dyDescent="0.3"/>
    <row r="759" s="4" customFormat="1" ht="14.25" customHeight="1" x14ac:dyDescent="0.3"/>
    <row r="760" s="4" customFormat="1" ht="14.25" customHeight="1" x14ac:dyDescent="0.3"/>
    <row r="761" s="4" customFormat="1" ht="14.25" customHeight="1" x14ac:dyDescent="0.3"/>
    <row r="762" s="4" customFormat="1" ht="14.25" customHeight="1" x14ac:dyDescent="0.3"/>
    <row r="763" s="4" customFormat="1" ht="14.25" customHeight="1" x14ac:dyDescent="0.3"/>
    <row r="764" s="4" customFormat="1" ht="14.25" customHeight="1" x14ac:dyDescent="0.3"/>
    <row r="765" s="4" customFormat="1" ht="14.25" customHeight="1" x14ac:dyDescent="0.3"/>
    <row r="766" s="4" customFormat="1" ht="14.25" customHeight="1" x14ac:dyDescent="0.3"/>
    <row r="767" s="4" customFormat="1" ht="14.25" customHeight="1" x14ac:dyDescent="0.3"/>
    <row r="768" s="4" customFormat="1" ht="14.25" customHeight="1" x14ac:dyDescent="0.3"/>
    <row r="769" s="4" customFormat="1" ht="14.25" customHeight="1" x14ac:dyDescent="0.3"/>
    <row r="770" s="4" customFormat="1" ht="14.25" customHeight="1" x14ac:dyDescent="0.3"/>
    <row r="771" s="4" customFormat="1" ht="14.25" customHeight="1" x14ac:dyDescent="0.3"/>
    <row r="772" s="4" customFormat="1" ht="14.25" customHeight="1" x14ac:dyDescent="0.3"/>
    <row r="773" s="4" customFormat="1" ht="14.25" customHeight="1" x14ac:dyDescent="0.3"/>
    <row r="774" s="4" customFormat="1" ht="14.25" customHeight="1" x14ac:dyDescent="0.3"/>
    <row r="775" s="4" customFormat="1" ht="14.25" customHeight="1" x14ac:dyDescent="0.3"/>
    <row r="776" s="4" customFormat="1" ht="14.25" customHeight="1" x14ac:dyDescent="0.3"/>
    <row r="777" s="4" customFormat="1" ht="14.25" customHeight="1" x14ac:dyDescent="0.3"/>
    <row r="778" s="4" customFormat="1" ht="14.25" customHeight="1" x14ac:dyDescent="0.3"/>
    <row r="779" s="4" customFormat="1" ht="14.25" customHeight="1" x14ac:dyDescent="0.3"/>
    <row r="780" s="4" customFormat="1" ht="14.25" customHeight="1" x14ac:dyDescent="0.3"/>
    <row r="781" s="4" customFormat="1" ht="14.25" customHeight="1" x14ac:dyDescent="0.3"/>
    <row r="782" s="4" customFormat="1" ht="14.25" customHeight="1" x14ac:dyDescent="0.3"/>
    <row r="783" s="4" customFormat="1" ht="14.25" customHeight="1" x14ac:dyDescent="0.3"/>
    <row r="784" s="4" customFormat="1" ht="14.25" customHeight="1" x14ac:dyDescent="0.3"/>
    <row r="785" s="4" customFormat="1" ht="14.25" customHeight="1" x14ac:dyDescent="0.3"/>
    <row r="786" s="4" customFormat="1" ht="14.25" customHeight="1" x14ac:dyDescent="0.3"/>
    <row r="787" s="4" customFormat="1" ht="14.25" customHeight="1" x14ac:dyDescent="0.3"/>
    <row r="788" s="4" customFormat="1" ht="14.25" customHeight="1" x14ac:dyDescent="0.3"/>
    <row r="789" s="4" customFormat="1" ht="14.25" customHeight="1" x14ac:dyDescent="0.3"/>
    <row r="790" s="4" customFormat="1" ht="14.25" customHeight="1" x14ac:dyDescent="0.3"/>
    <row r="791" s="4" customFormat="1" ht="14.25" customHeight="1" x14ac:dyDescent="0.3"/>
    <row r="792" s="4" customFormat="1" ht="14.25" customHeight="1" x14ac:dyDescent="0.3"/>
    <row r="793" s="4" customFormat="1" ht="14.25" customHeight="1" x14ac:dyDescent="0.3"/>
    <row r="794" s="4" customFormat="1" ht="14.25" customHeight="1" x14ac:dyDescent="0.3"/>
    <row r="795" s="4" customFormat="1" ht="14.25" customHeight="1" x14ac:dyDescent="0.3"/>
    <row r="796" s="4" customFormat="1" ht="14.25" customHeight="1" x14ac:dyDescent="0.3"/>
    <row r="797" s="4" customFormat="1" ht="14.25" customHeight="1" x14ac:dyDescent="0.3"/>
    <row r="798" s="4" customFormat="1" ht="14.25" customHeight="1" x14ac:dyDescent="0.3"/>
    <row r="799" s="4" customFormat="1" ht="14.25" customHeight="1" x14ac:dyDescent="0.3"/>
    <row r="800" s="4" customFormat="1" ht="14.25" customHeight="1" x14ac:dyDescent="0.3"/>
    <row r="801" s="4" customFormat="1" ht="14.25" customHeight="1" x14ac:dyDescent="0.3"/>
    <row r="802" s="4" customFormat="1" ht="14.25" customHeight="1" x14ac:dyDescent="0.3"/>
    <row r="803" s="4" customFormat="1" ht="14.25" customHeight="1" x14ac:dyDescent="0.3"/>
    <row r="804" s="4" customFormat="1" ht="14.25" customHeight="1" x14ac:dyDescent="0.3"/>
    <row r="805" s="4" customFormat="1" ht="14.25" customHeight="1" x14ac:dyDescent="0.3"/>
    <row r="806" s="4" customFormat="1" ht="14.25" customHeight="1" x14ac:dyDescent="0.3"/>
    <row r="807" s="4" customFormat="1" ht="14.25" customHeight="1" x14ac:dyDescent="0.3"/>
    <row r="808" s="4" customFormat="1" ht="14.25" customHeight="1" x14ac:dyDescent="0.3"/>
    <row r="809" s="4" customFormat="1" ht="14.25" customHeight="1" x14ac:dyDescent="0.3"/>
    <row r="810" s="4" customFormat="1" ht="14.25" customHeight="1" x14ac:dyDescent="0.3"/>
    <row r="811" s="4" customFormat="1" ht="14.25" customHeight="1" x14ac:dyDescent="0.3"/>
    <row r="812" s="4" customFormat="1" ht="14.25" customHeight="1" x14ac:dyDescent="0.3"/>
    <row r="813" s="4" customFormat="1" ht="14.25" customHeight="1" x14ac:dyDescent="0.3"/>
    <row r="814" s="4" customFormat="1" ht="14.25" customHeight="1" x14ac:dyDescent="0.3"/>
    <row r="815" s="4" customFormat="1" ht="14.25" customHeight="1" x14ac:dyDescent="0.3"/>
    <row r="816" s="4" customFormat="1" ht="14.25" customHeight="1" x14ac:dyDescent="0.3"/>
    <row r="817" s="4" customFormat="1" ht="14.25" customHeight="1" x14ac:dyDescent="0.3"/>
    <row r="818" s="4" customFormat="1" ht="14.25" customHeight="1" x14ac:dyDescent="0.3"/>
    <row r="819" s="4" customFormat="1" ht="14.25" customHeight="1" x14ac:dyDescent="0.3"/>
    <row r="820" s="4" customFormat="1" ht="14.25" customHeight="1" x14ac:dyDescent="0.3"/>
    <row r="821" s="4" customFormat="1" ht="14.25" customHeight="1" x14ac:dyDescent="0.3"/>
    <row r="822" s="4" customFormat="1" ht="14.25" customHeight="1" x14ac:dyDescent="0.3"/>
    <row r="823" s="4" customFormat="1" ht="14.25" customHeight="1" x14ac:dyDescent="0.3"/>
    <row r="824" s="4" customFormat="1" ht="14.25" customHeight="1" x14ac:dyDescent="0.3"/>
    <row r="825" s="4" customFormat="1" ht="14.25" customHeight="1" x14ac:dyDescent="0.3"/>
    <row r="826" s="4" customFormat="1" ht="14.25" customHeight="1" x14ac:dyDescent="0.3"/>
    <row r="827" s="4" customFormat="1" ht="14.25" customHeight="1" x14ac:dyDescent="0.3"/>
    <row r="828" s="4" customFormat="1" ht="14.25" customHeight="1" x14ac:dyDescent="0.3"/>
    <row r="829" s="4" customFormat="1" ht="14.25" customHeight="1" x14ac:dyDescent="0.3"/>
    <row r="830" s="4" customFormat="1" ht="14.25" customHeight="1" x14ac:dyDescent="0.3"/>
    <row r="831" s="4" customFormat="1" ht="14.25" customHeight="1" x14ac:dyDescent="0.3"/>
    <row r="832" s="4" customFormat="1" ht="14.25" customHeight="1" x14ac:dyDescent="0.3"/>
    <row r="833" s="4" customFormat="1" ht="14.25" customHeight="1" x14ac:dyDescent="0.3"/>
    <row r="834" s="4" customFormat="1" ht="14.25" customHeight="1" x14ac:dyDescent="0.3"/>
    <row r="835" s="4" customFormat="1" ht="14.25" customHeight="1" x14ac:dyDescent="0.3"/>
    <row r="836" s="4" customFormat="1" ht="14.25" customHeight="1" x14ac:dyDescent="0.3"/>
    <row r="837" s="4" customFormat="1" ht="14.25" customHeight="1" x14ac:dyDescent="0.3"/>
    <row r="838" s="4" customFormat="1" ht="14.25" customHeight="1" x14ac:dyDescent="0.3"/>
    <row r="839" s="4" customFormat="1" ht="14.25" customHeight="1" x14ac:dyDescent="0.3"/>
    <row r="840" s="4" customFormat="1" ht="14.25" customHeight="1" x14ac:dyDescent="0.3"/>
    <row r="841" s="4" customFormat="1" ht="14.25" customHeight="1" x14ac:dyDescent="0.3"/>
    <row r="842" s="4" customFormat="1" ht="14.25" customHeight="1" x14ac:dyDescent="0.3"/>
    <row r="843" s="4" customFormat="1" ht="14.25" customHeight="1" x14ac:dyDescent="0.3"/>
    <row r="844" s="4" customFormat="1" ht="14.25" customHeight="1" x14ac:dyDescent="0.3"/>
    <row r="845" s="4" customFormat="1" ht="14.25" customHeight="1" x14ac:dyDescent="0.3"/>
    <row r="846" s="4" customFormat="1" ht="14.25" customHeight="1" x14ac:dyDescent="0.3"/>
    <row r="847" s="4" customFormat="1" ht="14.25" customHeight="1" x14ac:dyDescent="0.3"/>
    <row r="848" s="4" customFormat="1" ht="14.25" customHeight="1" x14ac:dyDescent="0.3"/>
    <row r="849" s="4" customFormat="1" ht="14.25" customHeight="1" x14ac:dyDescent="0.3"/>
    <row r="850" s="4" customFormat="1" ht="14.25" customHeight="1" x14ac:dyDescent="0.3"/>
    <row r="851" s="4" customFormat="1" ht="14.25" customHeight="1" x14ac:dyDescent="0.3"/>
    <row r="852" s="4" customFormat="1" ht="14.25" customHeight="1" x14ac:dyDescent="0.3"/>
    <row r="853" s="4" customFormat="1" ht="14.25" customHeight="1" x14ac:dyDescent="0.3"/>
    <row r="854" s="4" customFormat="1" ht="14.25" customHeight="1" x14ac:dyDescent="0.3"/>
    <row r="855" s="4" customFormat="1" ht="14.25" customHeight="1" x14ac:dyDescent="0.3"/>
    <row r="856" s="4" customFormat="1" ht="14.25" customHeight="1" x14ac:dyDescent="0.3"/>
    <row r="857" s="4" customFormat="1" ht="14.25" customHeight="1" x14ac:dyDescent="0.3"/>
    <row r="858" s="4" customFormat="1" ht="14.25" customHeight="1" x14ac:dyDescent="0.3"/>
    <row r="859" s="4" customFormat="1" ht="14.25" customHeight="1" x14ac:dyDescent="0.3"/>
    <row r="860" s="4" customFormat="1" ht="14.25" customHeight="1" x14ac:dyDescent="0.3"/>
    <row r="861" s="4" customFormat="1" ht="14.25" customHeight="1" x14ac:dyDescent="0.3"/>
    <row r="862" s="4" customFormat="1" ht="14.25" customHeight="1" x14ac:dyDescent="0.3"/>
    <row r="863" s="4" customFormat="1" ht="14.25" customHeight="1" x14ac:dyDescent="0.3"/>
    <row r="864" s="4" customFormat="1" ht="14.25" customHeight="1" x14ac:dyDescent="0.3"/>
    <row r="865" s="4" customFormat="1" ht="14.25" customHeight="1" x14ac:dyDescent="0.3"/>
    <row r="866" s="4" customFormat="1" ht="14.25" customHeight="1" x14ac:dyDescent="0.3"/>
    <row r="867" s="4" customFormat="1" ht="14.25" customHeight="1" x14ac:dyDescent="0.3"/>
    <row r="868" s="4" customFormat="1" ht="14.25" customHeight="1" x14ac:dyDescent="0.3"/>
    <row r="869" s="4" customFormat="1" ht="14.25" customHeight="1" x14ac:dyDescent="0.3"/>
    <row r="870" s="4" customFormat="1" ht="14.25" customHeight="1" x14ac:dyDescent="0.3"/>
    <row r="871" s="4" customFormat="1" ht="14.25" customHeight="1" x14ac:dyDescent="0.3"/>
    <row r="872" s="4" customFormat="1" ht="14.25" customHeight="1" x14ac:dyDescent="0.3"/>
    <row r="873" s="4" customFormat="1" ht="14.25" customHeight="1" x14ac:dyDescent="0.3"/>
    <row r="874" s="4" customFormat="1" ht="14.25" customHeight="1" x14ac:dyDescent="0.3"/>
    <row r="875" s="4" customFormat="1" ht="14.25" customHeight="1" x14ac:dyDescent="0.3"/>
    <row r="876" s="4" customFormat="1" ht="14.25" customHeight="1" x14ac:dyDescent="0.3"/>
    <row r="877" s="4" customFormat="1" ht="14.25" customHeight="1" x14ac:dyDescent="0.3"/>
    <row r="878" s="4" customFormat="1" ht="14.25" customHeight="1" x14ac:dyDescent="0.3"/>
    <row r="879" s="4" customFormat="1" ht="14.25" customHeight="1" x14ac:dyDescent="0.3"/>
    <row r="880" s="4" customFormat="1" ht="14.25" customHeight="1" x14ac:dyDescent="0.3"/>
    <row r="881" s="4" customFormat="1" ht="14.25" customHeight="1" x14ac:dyDescent="0.3"/>
    <row r="882" s="4" customFormat="1" ht="14.25" customHeight="1" x14ac:dyDescent="0.3"/>
    <row r="883" s="4" customFormat="1" ht="14.25" customHeight="1" x14ac:dyDescent="0.3"/>
    <row r="884" s="4" customFormat="1" ht="14.25" customHeight="1" x14ac:dyDescent="0.3"/>
    <row r="885" s="4" customFormat="1" ht="14.25" customHeight="1" x14ac:dyDescent="0.3"/>
    <row r="886" s="4" customFormat="1" ht="14.25" customHeight="1" x14ac:dyDescent="0.3"/>
    <row r="887" s="4" customFormat="1" ht="14.25" customHeight="1" x14ac:dyDescent="0.3"/>
    <row r="888" s="4" customFormat="1" ht="14.25" customHeight="1" x14ac:dyDescent="0.3"/>
    <row r="889" s="4" customFormat="1" ht="14.25" customHeight="1" x14ac:dyDescent="0.3"/>
    <row r="890" s="4" customFormat="1" ht="14.25" customHeight="1" x14ac:dyDescent="0.3"/>
    <row r="891" s="4" customFormat="1" ht="14.25" customHeight="1" x14ac:dyDescent="0.3"/>
    <row r="892" s="4" customFormat="1" ht="14.25" customHeight="1" x14ac:dyDescent="0.3"/>
    <row r="893" s="4" customFormat="1" ht="14.25" customHeight="1" x14ac:dyDescent="0.3"/>
    <row r="894" s="4" customFormat="1" ht="14.25" customHeight="1" x14ac:dyDescent="0.3"/>
    <row r="895" s="4" customFormat="1" ht="14.25" customHeight="1" x14ac:dyDescent="0.3"/>
    <row r="896" s="4" customFormat="1" ht="14.25" customHeight="1" x14ac:dyDescent="0.3"/>
    <row r="897" s="4" customFormat="1" ht="14.25" customHeight="1" x14ac:dyDescent="0.3"/>
    <row r="898" s="4" customFormat="1" ht="14.25" customHeight="1" x14ac:dyDescent="0.3"/>
    <row r="899" s="4" customFormat="1" ht="14.25" customHeight="1" x14ac:dyDescent="0.3"/>
    <row r="900" s="4" customFormat="1" ht="14.25" customHeight="1" x14ac:dyDescent="0.3"/>
    <row r="901" s="4" customFormat="1" ht="14.25" customHeight="1" x14ac:dyDescent="0.3"/>
    <row r="902" s="4" customFormat="1" ht="14.25" customHeight="1" x14ac:dyDescent="0.3"/>
    <row r="903" s="4" customFormat="1" ht="14.25" customHeight="1" x14ac:dyDescent="0.3"/>
    <row r="904" s="4" customFormat="1" ht="14.25" customHeight="1" x14ac:dyDescent="0.3"/>
    <row r="905" s="4" customFormat="1" ht="14.25" customHeight="1" x14ac:dyDescent="0.3"/>
    <row r="906" s="4" customFormat="1" ht="14.25" customHeight="1" x14ac:dyDescent="0.3"/>
    <row r="907" s="4" customFormat="1" ht="14.25" customHeight="1" x14ac:dyDescent="0.3"/>
    <row r="908" s="4" customFormat="1" ht="14.25" customHeight="1" x14ac:dyDescent="0.3"/>
    <row r="909" s="4" customFormat="1" ht="14.25" customHeight="1" x14ac:dyDescent="0.3"/>
    <row r="910" s="4" customFormat="1" ht="14.25" customHeight="1" x14ac:dyDescent="0.3"/>
    <row r="911" s="4" customFormat="1" ht="14.25" customHeight="1" x14ac:dyDescent="0.3"/>
    <row r="912" s="4" customFormat="1" ht="14.25" customHeight="1" x14ac:dyDescent="0.3"/>
    <row r="913" s="4" customFormat="1" ht="14.25" customHeight="1" x14ac:dyDescent="0.3"/>
    <row r="914" s="4" customFormat="1" ht="14.25" customHeight="1" x14ac:dyDescent="0.3"/>
    <row r="915" s="4" customFormat="1" ht="14.25" customHeight="1" x14ac:dyDescent="0.3"/>
    <row r="916" s="4" customFormat="1" ht="14.25" customHeight="1" x14ac:dyDescent="0.3"/>
    <row r="917" s="4" customFormat="1" ht="14.25" customHeight="1" x14ac:dyDescent="0.3"/>
    <row r="918" s="4" customFormat="1" ht="14.25" customHeight="1" x14ac:dyDescent="0.3"/>
    <row r="919" s="4" customFormat="1" ht="14.25" customHeight="1" x14ac:dyDescent="0.3"/>
    <row r="920" s="4" customFormat="1" ht="14.25" customHeight="1" x14ac:dyDescent="0.3"/>
    <row r="921" s="4" customFormat="1" ht="14.25" customHeight="1" x14ac:dyDescent="0.3"/>
    <row r="922" s="4" customFormat="1" ht="14.25" customHeight="1" x14ac:dyDescent="0.3"/>
    <row r="923" s="4" customFormat="1" ht="14.25" customHeight="1" x14ac:dyDescent="0.3"/>
    <row r="924" s="4" customFormat="1" ht="14.25" customHeight="1" x14ac:dyDescent="0.3"/>
    <row r="925" s="4" customFormat="1" ht="14.25" customHeight="1" x14ac:dyDescent="0.3"/>
    <row r="926" s="4" customFormat="1" ht="14.25" customHeight="1" x14ac:dyDescent="0.3"/>
    <row r="927" s="4" customFormat="1" ht="14.25" customHeight="1" x14ac:dyDescent="0.3"/>
    <row r="928" s="4" customFormat="1" ht="14.25" customHeight="1" x14ac:dyDescent="0.3"/>
    <row r="929" s="4" customFormat="1" ht="14.25" customHeight="1" x14ac:dyDescent="0.3"/>
    <row r="930" s="4" customFormat="1" ht="14.25" customHeight="1" x14ac:dyDescent="0.3"/>
    <row r="931" s="4" customFormat="1" ht="14.25" customHeight="1" x14ac:dyDescent="0.3"/>
    <row r="932" s="4" customFormat="1" ht="14.25" customHeight="1" x14ac:dyDescent="0.3"/>
    <row r="933" s="4" customFormat="1" ht="14.25" customHeight="1" x14ac:dyDescent="0.3"/>
    <row r="934" s="4" customFormat="1" ht="14.25" customHeight="1" x14ac:dyDescent="0.3"/>
    <row r="935" s="4" customFormat="1" ht="14.25" customHeight="1" x14ac:dyDescent="0.3"/>
    <row r="936" s="4" customFormat="1" ht="14.25" customHeight="1" x14ac:dyDescent="0.3"/>
    <row r="937" s="4" customFormat="1" ht="14.25" customHeight="1" x14ac:dyDescent="0.3"/>
    <row r="938" s="4" customFormat="1" ht="14.25" customHeight="1" x14ac:dyDescent="0.3"/>
    <row r="939" s="4" customFormat="1" ht="14.25" customHeight="1" x14ac:dyDescent="0.3"/>
    <row r="940" s="4" customFormat="1" ht="14.25" customHeight="1" x14ac:dyDescent="0.3"/>
    <row r="941" s="4" customFormat="1" ht="14.25" customHeight="1" x14ac:dyDescent="0.3"/>
    <row r="942" s="4" customFormat="1" ht="14.25" customHeight="1" x14ac:dyDescent="0.3"/>
    <row r="943" s="4" customFormat="1" ht="14.25" customHeight="1" x14ac:dyDescent="0.3"/>
    <row r="944" s="4" customFormat="1" ht="14.25" customHeight="1" x14ac:dyDescent="0.3"/>
    <row r="945" s="4" customFormat="1" ht="14.25" customHeight="1" x14ac:dyDescent="0.3"/>
    <row r="946" s="4" customFormat="1" ht="14.25" customHeight="1" x14ac:dyDescent="0.3"/>
    <row r="947" s="4" customFormat="1" ht="14.25" customHeight="1" x14ac:dyDescent="0.3"/>
    <row r="948" s="4" customFormat="1" ht="14.25" customHeight="1" x14ac:dyDescent="0.3"/>
    <row r="949" s="4" customFormat="1" ht="14.25" customHeight="1" x14ac:dyDescent="0.3"/>
    <row r="950" s="4" customFormat="1" ht="14.25" customHeight="1" x14ac:dyDescent="0.3"/>
    <row r="951" s="4" customFormat="1" ht="14.25" customHeight="1" x14ac:dyDescent="0.3"/>
    <row r="952" s="4" customFormat="1" ht="14.25" customHeight="1" x14ac:dyDescent="0.3"/>
    <row r="953" s="4" customFormat="1" ht="14.25" customHeight="1" x14ac:dyDescent="0.3"/>
    <row r="954" s="4" customFormat="1" ht="14.25" customHeight="1" x14ac:dyDescent="0.3"/>
    <row r="955" s="4" customFormat="1" ht="14.25" customHeight="1" x14ac:dyDescent="0.3"/>
    <row r="956" s="4" customFormat="1" ht="14.25" customHeight="1" x14ac:dyDescent="0.3"/>
    <row r="957" s="4" customFormat="1" ht="14.25" customHeight="1" x14ac:dyDescent="0.3"/>
    <row r="958" s="4" customFormat="1" ht="14.25" customHeight="1" x14ac:dyDescent="0.3"/>
    <row r="959" s="4" customFormat="1" ht="14.25" customHeight="1" x14ac:dyDescent="0.3"/>
    <row r="960" s="4" customFormat="1" ht="14.25" customHeight="1" x14ac:dyDescent="0.3"/>
    <row r="961" s="4" customFormat="1" ht="14.25" customHeight="1" x14ac:dyDescent="0.3"/>
    <row r="962" s="4" customFormat="1" ht="14.25" customHeight="1" x14ac:dyDescent="0.3"/>
    <row r="963" s="4" customFormat="1" ht="14.25" customHeight="1" x14ac:dyDescent="0.3"/>
    <row r="964" s="4" customFormat="1" ht="14.25" customHeight="1" x14ac:dyDescent="0.3"/>
    <row r="965" s="4" customFormat="1" ht="14.25" customHeight="1" x14ac:dyDescent="0.3"/>
    <row r="966" s="4" customFormat="1" ht="14.25" customHeight="1" x14ac:dyDescent="0.3"/>
    <row r="967" s="4" customFormat="1" ht="14.25" customHeight="1" x14ac:dyDescent="0.3"/>
    <row r="968" s="4" customFormat="1" ht="14.25" customHeight="1" x14ac:dyDescent="0.3"/>
    <row r="969" s="4" customFormat="1" ht="14.25" customHeight="1" x14ac:dyDescent="0.3"/>
    <row r="970" s="4" customFormat="1" ht="14.25" customHeight="1" x14ac:dyDescent="0.3"/>
    <row r="971" s="4" customFormat="1" ht="14.25" customHeight="1" x14ac:dyDescent="0.3"/>
    <row r="972" s="4" customFormat="1" ht="14.25" customHeight="1" x14ac:dyDescent="0.3"/>
    <row r="973" s="4" customFormat="1" ht="14.25" customHeight="1" x14ac:dyDescent="0.3"/>
    <row r="974" s="4" customFormat="1" ht="14.25" customHeight="1" x14ac:dyDescent="0.3"/>
    <row r="975" s="4" customFormat="1" ht="14.25" customHeight="1" x14ac:dyDescent="0.3"/>
    <row r="976" s="4" customFormat="1" ht="14.25" customHeight="1" x14ac:dyDescent="0.3"/>
  </sheetData>
  <mergeCells count="1">
    <mergeCell ref="D2:F2"/>
  </mergeCells>
  <conditionalFormatting sqref="H9:H11">
    <cfRule type="cellIs" dxfId="1" priority="1" operator="equal">
      <formula>"Fail"</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A781A-0EA1-4913-968C-526D50034FBB}">
  <dimension ref="A1:I993"/>
  <sheetViews>
    <sheetView topLeftCell="A6" zoomScale="70" zoomScaleNormal="70" workbookViewId="0">
      <selection activeCell="H12" sqref="H12"/>
    </sheetView>
  </sheetViews>
  <sheetFormatPr defaultColWidth="14.44140625" defaultRowHeight="15.6" x14ac:dyDescent="0.3"/>
  <cols>
    <col min="1" max="1" width="17.33203125" style="4" customWidth="1"/>
    <col min="2" max="2" width="29.44140625" style="4" customWidth="1"/>
    <col min="3" max="3" width="24.33203125" style="4" customWidth="1"/>
    <col min="4" max="4" width="26.6640625" style="4" customWidth="1"/>
    <col min="5" max="5" width="35.21875" style="4" bestFit="1" customWidth="1"/>
    <col min="6" max="6" width="28.33203125" style="4" customWidth="1"/>
    <col min="7" max="7" width="31.88671875" style="4" customWidth="1"/>
    <col min="8" max="8" width="8.44140625" style="4" customWidth="1"/>
    <col min="9" max="9" width="19.88671875" style="4" customWidth="1"/>
    <col min="10" max="26" width="8.6640625" style="4" customWidth="1"/>
    <col min="27" max="16384" width="14.44140625" style="4"/>
  </cols>
  <sheetData>
    <row r="1" spans="1:9" ht="16.2" thickBot="1" x14ac:dyDescent="0.35">
      <c r="A1" s="1" t="s">
        <v>0</v>
      </c>
      <c r="B1" s="2" t="s">
        <v>22</v>
      </c>
      <c r="F1" s="3"/>
      <c r="G1" s="3"/>
      <c r="H1" s="3"/>
      <c r="I1" s="3"/>
    </row>
    <row r="2" spans="1:9" ht="16.2" thickBot="1" x14ac:dyDescent="0.35">
      <c r="A2" s="1" t="s">
        <v>2</v>
      </c>
      <c r="B2" s="2" t="s">
        <v>195</v>
      </c>
      <c r="C2" s="3"/>
      <c r="D2" s="62" t="s">
        <v>1</v>
      </c>
      <c r="E2" s="63"/>
      <c r="F2" s="64"/>
      <c r="G2" s="3"/>
      <c r="H2" s="3"/>
      <c r="I2" s="3"/>
    </row>
    <row r="3" spans="1:9" ht="16.2" thickBot="1" x14ac:dyDescent="0.35">
      <c r="A3" s="1" t="s">
        <v>3</v>
      </c>
      <c r="B3" s="2" t="s">
        <v>21</v>
      </c>
      <c r="C3" s="3"/>
      <c r="D3" s="3"/>
      <c r="E3" s="3"/>
      <c r="F3" s="3"/>
      <c r="G3" s="3"/>
      <c r="H3" s="3"/>
      <c r="I3" s="3"/>
    </row>
    <row r="4" spans="1:9" ht="16.2" thickBot="1" x14ac:dyDescent="0.35">
      <c r="A4" s="1" t="s">
        <v>4</v>
      </c>
      <c r="B4" s="5">
        <v>45976</v>
      </c>
      <c r="C4" s="6"/>
      <c r="D4" s="3"/>
      <c r="E4" s="3"/>
      <c r="F4" s="3"/>
      <c r="G4" s="3"/>
      <c r="H4" s="3"/>
      <c r="I4" s="3"/>
    </row>
    <row r="5" spans="1:9" ht="16.2" thickBot="1" x14ac:dyDescent="0.35">
      <c r="A5" s="1" t="s">
        <v>5</v>
      </c>
      <c r="B5" s="2" t="s">
        <v>6</v>
      </c>
      <c r="C5" s="3"/>
      <c r="D5" s="3"/>
      <c r="E5" s="3"/>
      <c r="F5" s="3"/>
      <c r="G5" s="3"/>
      <c r="H5" s="3"/>
      <c r="I5" s="3"/>
    </row>
    <row r="6" spans="1:9" ht="16.2" thickBot="1" x14ac:dyDescent="0.35">
      <c r="A6" s="1" t="s">
        <v>7</v>
      </c>
      <c r="B6" s="32">
        <v>45983</v>
      </c>
      <c r="C6" s="7"/>
      <c r="D6" s="3"/>
      <c r="E6" s="3"/>
      <c r="F6" s="3"/>
      <c r="G6" s="3"/>
      <c r="H6" s="3"/>
      <c r="I6" s="3"/>
    </row>
    <row r="7" spans="1:9" ht="14.25" customHeight="1" thickBot="1" x14ac:dyDescent="0.35">
      <c r="A7" s="8"/>
      <c r="B7" s="8"/>
      <c r="C7" s="8"/>
      <c r="D7" s="8"/>
      <c r="E7" s="8"/>
      <c r="F7" s="8"/>
      <c r="G7" s="8"/>
      <c r="H7" s="8"/>
      <c r="I7" s="8"/>
    </row>
    <row r="8" spans="1:9" ht="16.2" thickBot="1" x14ac:dyDescent="0.35">
      <c r="A8" s="9" t="s">
        <v>8</v>
      </c>
      <c r="B8" s="9" t="s">
        <v>9</v>
      </c>
      <c r="C8" s="9" t="s">
        <v>10</v>
      </c>
      <c r="D8" s="27" t="s">
        <v>11</v>
      </c>
      <c r="E8" s="9" t="s">
        <v>12</v>
      </c>
      <c r="F8" s="9" t="s">
        <v>13</v>
      </c>
      <c r="G8" s="9" t="s">
        <v>14</v>
      </c>
      <c r="H8" s="9" t="s">
        <v>15</v>
      </c>
      <c r="I8" s="9" t="s">
        <v>16</v>
      </c>
    </row>
    <row r="9" spans="1:9" ht="60.6" customHeight="1" thickBot="1" x14ac:dyDescent="0.35">
      <c r="A9" s="10" t="s">
        <v>192</v>
      </c>
      <c r="B9" s="15" t="s">
        <v>199</v>
      </c>
      <c r="C9" s="25" t="s">
        <v>164</v>
      </c>
      <c r="D9" s="14" t="s">
        <v>198</v>
      </c>
      <c r="E9" s="26" t="s">
        <v>197</v>
      </c>
      <c r="F9" s="16" t="s">
        <v>205</v>
      </c>
      <c r="G9" s="16" t="s">
        <v>205</v>
      </c>
      <c r="H9" s="20" t="s">
        <v>17</v>
      </c>
      <c r="I9" s="10" t="s">
        <v>265</v>
      </c>
    </row>
    <row r="10" spans="1:9" ht="78.599999999999994" thickBot="1" x14ac:dyDescent="0.35">
      <c r="A10" s="10" t="s">
        <v>193</v>
      </c>
      <c r="B10" s="15" t="s">
        <v>200</v>
      </c>
      <c r="C10" s="25" t="s">
        <v>164</v>
      </c>
      <c r="D10" s="14" t="s">
        <v>206</v>
      </c>
      <c r="E10" s="26" t="s">
        <v>262</v>
      </c>
      <c r="F10" s="16" t="s">
        <v>207</v>
      </c>
      <c r="G10" s="16" t="s">
        <v>207</v>
      </c>
      <c r="H10" s="20" t="s">
        <v>17</v>
      </c>
      <c r="I10" s="10" t="s">
        <v>265</v>
      </c>
    </row>
    <row r="11" spans="1:9" ht="78.599999999999994" thickBot="1" x14ac:dyDescent="0.35">
      <c r="A11" s="10" t="s">
        <v>194</v>
      </c>
      <c r="B11" s="15" t="s">
        <v>201</v>
      </c>
      <c r="C11" s="25" t="s">
        <v>164</v>
      </c>
      <c r="D11" s="14" t="s">
        <v>263</v>
      </c>
      <c r="E11" s="26" t="s">
        <v>197</v>
      </c>
      <c r="F11" s="16" t="s">
        <v>208</v>
      </c>
      <c r="G11" s="16" t="s">
        <v>306</v>
      </c>
      <c r="H11" s="20" t="s">
        <v>18</v>
      </c>
      <c r="I11" s="10" t="s">
        <v>265</v>
      </c>
    </row>
    <row r="12" spans="1:9" ht="78.599999999999994" thickBot="1" x14ac:dyDescent="0.35">
      <c r="A12" s="10" t="s">
        <v>196</v>
      </c>
      <c r="B12" s="15" t="s">
        <v>202</v>
      </c>
      <c r="C12" s="25" t="s">
        <v>164</v>
      </c>
      <c r="D12" s="14" t="s">
        <v>264</v>
      </c>
      <c r="E12" s="26" t="s">
        <v>197</v>
      </c>
      <c r="F12" s="16" t="s">
        <v>209</v>
      </c>
      <c r="G12" s="16" t="s">
        <v>267</v>
      </c>
      <c r="H12" s="20" t="s">
        <v>18</v>
      </c>
      <c r="I12" s="10" t="s">
        <v>265</v>
      </c>
    </row>
    <row r="13" spans="1:9" ht="14.25" customHeight="1" x14ac:dyDescent="0.3">
      <c r="A13" s="12"/>
      <c r="B13" s="12"/>
      <c r="C13" s="12"/>
      <c r="D13" s="12"/>
      <c r="E13" s="12"/>
      <c r="F13" s="12"/>
      <c r="G13" s="21" t="s">
        <v>17</v>
      </c>
      <c r="H13" s="22">
        <f>COUNTIF(H9:H12,"Pass")</f>
        <v>2</v>
      </c>
      <c r="I13" s="12"/>
    </row>
    <row r="14" spans="1:9" ht="14.25" customHeight="1" x14ac:dyDescent="0.3">
      <c r="A14" s="12"/>
      <c r="B14" s="12"/>
      <c r="C14" s="12"/>
      <c r="D14" s="12"/>
      <c r="E14" s="12"/>
      <c r="F14" s="12"/>
      <c r="G14" s="21" t="s">
        <v>18</v>
      </c>
      <c r="H14" s="22">
        <f>COUNTIF(H9:H12,"Fail")</f>
        <v>2</v>
      </c>
      <c r="I14" s="12"/>
    </row>
    <row r="15" spans="1:9" ht="14.25" customHeight="1" x14ac:dyDescent="0.3">
      <c r="A15" s="12"/>
      <c r="B15" s="12"/>
      <c r="C15" s="12"/>
      <c r="D15" s="12"/>
      <c r="E15" s="12"/>
      <c r="F15" s="12"/>
      <c r="G15" s="23" t="s">
        <v>19</v>
      </c>
      <c r="H15" s="24">
        <f>COUNTIF(H10:H12,"Pending")</f>
        <v>0</v>
      </c>
      <c r="I15" s="12"/>
    </row>
    <row r="16" spans="1:9" ht="14.25" customHeight="1" x14ac:dyDescent="0.3">
      <c r="G16" s="22" t="s">
        <v>20</v>
      </c>
      <c r="H16" s="22">
        <f>SUM(H13:H15)</f>
        <v>4</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s="4" customFormat="1" ht="14.25" customHeight="1" x14ac:dyDescent="0.3"/>
    <row r="34" s="4" customFormat="1" ht="14.25" customHeight="1" x14ac:dyDescent="0.3"/>
    <row r="35" s="4" customFormat="1" ht="14.25" customHeight="1" x14ac:dyDescent="0.3"/>
    <row r="36" s="4" customFormat="1" ht="14.25" customHeight="1" x14ac:dyDescent="0.3"/>
    <row r="37" s="4" customFormat="1" ht="14.25" customHeight="1" x14ac:dyDescent="0.3"/>
    <row r="38" s="4" customFormat="1" ht="14.25" customHeight="1" x14ac:dyDescent="0.3"/>
    <row r="39" s="4" customFormat="1" ht="14.25" customHeight="1" x14ac:dyDescent="0.3"/>
    <row r="40" s="4" customFormat="1" ht="14.25" customHeight="1" x14ac:dyDescent="0.3"/>
    <row r="41" s="4" customFormat="1" ht="14.25" customHeight="1" x14ac:dyDescent="0.3"/>
    <row r="42" s="4" customFormat="1" ht="14.25" customHeight="1" x14ac:dyDescent="0.3"/>
    <row r="43" s="4" customFormat="1" ht="14.25" customHeight="1" x14ac:dyDescent="0.3"/>
    <row r="44" s="4" customFormat="1" ht="14.25" customHeight="1" x14ac:dyDescent="0.3"/>
    <row r="45" s="4" customFormat="1" ht="14.25" customHeight="1" x14ac:dyDescent="0.3"/>
    <row r="46" s="4" customFormat="1" ht="14.25" customHeight="1" x14ac:dyDescent="0.3"/>
    <row r="47" s="4" customFormat="1" ht="14.25" customHeight="1" x14ac:dyDescent="0.3"/>
    <row r="48" s="4" customFormat="1" ht="14.25" customHeight="1" x14ac:dyDescent="0.3"/>
    <row r="49" s="4" customFormat="1" ht="14.25" customHeight="1" x14ac:dyDescent="0.3"/>
    <row r="50" s="4" customFormat="1" ht="14.25" customHeight="1" x14ac:dyDescent="0.3"/>
    <row r="51" s="4" customFormat="1" ht="14.25" customHeight="1" x14ac:dyDescent="0.3"/>
    <row r="52" s="4" customFormat="1" ht="14.25" customHeight="1" x14ac:dyDescent="0.3"/>
    <row r="53" s="4" customFormat="1" ht="14.25" customHeight="1" x14ac:dyDescent="0.3"/>
    <row r="54" s="4" customFormat="1" ht="14.25" customHeight="1" x14ac:dyDescent="0.3"/>
    <row r="55" s="4" customFormat="1" ht="14.25" customHeight="1" x14ac:dyDescent="0.3"/>
    <row r="56" s="4" customFormat="1" ht="14.25" customHeight="1" x14ac:dyDescent="0.3"/>
    <row r="57" s="4" customFormat="1" ht="14.25" customHeight="1" x14ac:dyDescent="0.3"/>
    <row r="58" s="4" customFormat="1" ht="14.25" customHeight="1" x14ac:dyDescent="0.3"/>
    <row r="59" s="4" customFormat="1" ht="14.25" customHeight="1" x14ac:dyDescent="0.3"/>
    <row r="60" s="4" customFormat="1" ht="14.25" customHeight="1" x14ac:dyDescent="0.3"/>
    <row r="61" s="4" customFormat="1" ht="14.25" customHeight="1" x14ac:dyDescent="0.3"/>
    <row r="62" s="4" customFormat="1" ht="14.25" customHeight="1" x14ac:dyDescent="0.3"/>
    <row r="63" s="4" customFormat="1" ht="14.25" customHeight="1" x14ac:dyDescent="0.3"/>
    <row r="64" s="4" customFormat="1" ht="14.25" customHeight="1" x14ac:dyDescent="0.3"/>
    <row r="65" s="4" customFormat="1" ht="14.25" customHeight="1" x14ac:dyDescent="0.3"/>
    <row r="66" s="4" customFormat="1" ht="14.25" customHeight="1" x14ac:dyDescent="0.3"/>
    <row r="67" s="4" customFormat="1" ht="14.25" customHeight="1" x14ac:dyDescent="0.3"/>
    <row r="68" s="4" customFormat="1" ht="14.25" customHeight="1" x14ac:dyDescent="0.3"/>
    <row r="69" s="4" customFormat="1" ht="14.25" customHeight="1" x14ac:dyDescent="0.3"/>
    <row r="70" s="4" customFormat="1" ht="14.25" customHeight="1" x14ac:dyDescent="0.3"/>
    <row r="71" s="4" customFormat="1" ht="14.25" customHeight="1" x14ac:dyDescent="0.3"/>
    <row r="72" s="4" customFormat="1" ht="14.25" customHeight="1" x14ac:dyDescent="0.3"/>
    <row r="73" s="4" customFormat="1" ht="14.25" customHeight="1" x14ac:dyDescent="0.3"/>
    <row r="74" s="4" customFormat="1" ht="14.25" customHeight="1" x14ac:dyDescent="0.3"/>
    <row r="75" s="4" customFormat="1" ht="14.25" customHeight="1" x14ac:dyDescent="0.3"/>
    <row r="76" s="4" customFormat="1" ht="14.25" customHeight="1" x14ac:dyDescent="0.3"/>
    <row r="77" s="4" customFormat="1" ht="14.25" customHeight="1" x14ac:dyDescent="0.3"/>
    <row r="78" s="4" customFormat="1" ht="14.25" customHeight="1" x14ac:dyDescent="0.3"/>
    <row r="79" s="4" customFormat="1" ht="14.25" customHeight="1" x14ac:dyDescent="0.3"/>
    <row r="80" s="4" customFormat="1" ht="14.25" customHeight="1" x14ac:dyDescent="0.3"/>
    <row r="81" s="4" customFormat="1" ht="14.25" customHeight="1" x14ac:dyDescent="0.3"/>
    <row r="82" s="4" customFormat="1" ht="14.25" customHeight="1" x14ac:dyDescent="0.3"/>
    <row r="83" s="4" customFormat="1" ht="14.25" customHeight="1" x14ac:dyDescent="0.3"/>
    <row r="84" s="4" customFormat="1" ht="14.25" customHeight="1" x14ac:dyDescent="0.3"/>
    <row r="85" s="4" customFormat="1" ht="14.25" customHeight="1" x14ac:dyDescent="0.3"/>
    <row r="86" s="4" customFormat="1" ht="14.25" customHeight="1" x14ac:dyDescent="0.3"/>
    <row r="87" s="4" customFormat="1" ht="14.25" customHeight="1" x14ac:dyDescent="0.3"/>
    <row r="88" s="4" customFormat="1" ht="14.25" customHeight="1" x14ac:dyDescent="0.3"/>
    <row r="89" s="4" customFormat="1" ht="14.25" customHeight="1" x14ac:dyDescent="0.3"/>
    <row r="90" s="4" customFormat="1" ht="14.25" customHeight="1" x14ac:dyDescent="0.3"/>
    <row r="91" s="4" customFormat="1" ht="14.25" customHeight="1" x14ac:dyDescent="0.3"/>
    <row r="92" s="4" customFormat="1" ht="14.25" customHeight="1" x14ac:dyDescent="0.3"/>
    <row r="93" s="4" customFormat="1" ht="14.25" customHeight="1" x14ac:dyDescent="0.3"/>
    <row r="94" s="4" customFormat="1" ht="14.25" customHeight="1" x14ac:dyDescent="0.3"/>
    <row r="95" s="4" customFormat="1" ht="14.25" customHeight="1" x14ac:dyDescent="0.3"/>
    <row r="96" s="4" customFormat="1" ht="14.25" customHeight="1" x14ac:dyDescent="0.3"/>
    <row r="97" s="4" customFormat="1" ht="14.25" customHeight="1" x14ac:dyDescent="0.3"/>
    <row r="98" s="4" customFormat="1" ht="14.25" customHeight="1" x14ac:dyDescent="0.3"/>
    <row r="99" s="4" customFormat="1" ht="14.25" customHeight="1" x14ac:dyDescent="0.3"/>
    <row r="100" s="4" customFormat="1" ht="14.25" customHeight="1" x14ac:dyDescent="0.3"/>
    <row r="101" s="4" customFormat="1" ht="14.25" customHeight="1" x14ac:dyDescent="0.3"/>
    <row r="102" s="4" customFormat="1" ht="14.25" customHeight="1" x14ac:dyDescent="0.3"/>
    <row r="103" s="4" customFormat="1" ht="14.25" customHeight="1" x14ac:dyDescent="0.3"/>
    <row r="104" s="4" customFormat="1" ht="14.25" customHeight="1" x14ac:dyDescent="0.3"/>
    <row r="105" s="4" customFormat="1" ht="14.25" customHeight="1" x14ac:dyDescent="0.3"/>
    <row r="106" s="4" customFormat="1" ht="14.25" customHeight="1" x14ac:dyDescent="0.3"/>
    <row r="107" s="4" customFormat="1" ht="14.25" customHeight="1" x14ac:dyDescent="0.3"/>
    <row r="108" s="4" customFormat="1" ht="14.25" customHeight="1" x14ac:dyDescent="0.3"/>
    <row r="109" s="4" customFormat="1" ht="14.25" customHeight="1" x14ac:dyDescent="0.3"/>
    <row r="110" s="4" customFormat="1" ht="14.25" customHeight="1" x14ac:dyDescent="0.3"/>
    <row r="111" s="4" customFormat="1" ht="14.25" customHeight="1" x14ac:dyDescent="0.3"/>
    <row r="112" s="4" customFormat="1" ht="14.25" customHeight="1" x14ac:dyDescent="0.3"/>
    <row r="113" s="4" customFormat="1" ht="14.25" customHeight="1" x14ac:dyDescent="0.3"/>
    <row r="114" s="4" customFormat="1" ht="14.25" customHeight="1" x14ac:dyDescent="0.3"/>
    <row r="115" s="4" customFormat="1" ht="14.25" customHeight="1" x14ac:dyDescent="0.3"/>
    <row r="116" s="4" customFormat="1" ht="14.25" customHeight="1" x14ac:dyDescent="0.3"/>
    <row r="117" s="4" customFormat="1" ht="14.25" customHeight="1" x14ac:dyDescent="0.3"/>
    <row r="118" s="4" customFormat="1" ht="14.25" customHeight="1" x14ac:dyDescent="0.3"/>
    <row r="119" s="4" customFormat="1" ht="14.25" customHeight="1" x14ac:dyDescent="0.3"/>
    <row r="120" s="4" customFormat="1" ht="14.25" customHeight="1" x14ac:dyDescent="0.3"/>
    <row r="121" s="4" customFormat="1" ht="14.25" customHeight="1" x14ac:dyDescent="0.3"/>
    <row r="122" s="4" customFormat="1" ht="14.25" customHeight="1" x14ac:dyDescent="0.3"/>
    <row r="123" s="4" customFormat="1" ht="14.25" customHeight="1" x14ac:dyDescent="0.3"/>
    <row r="124" s="4" customFormat="1" ht="14.25" customHeight="1" x14ac:dyDescent="0.3"/>
    <row r="125" s="4" customFormat="1" ht="14.25" customHeight="1" x14ac:dyDescent="0.3"/>
    <row r="126" s="4" customFormat="1" ht="14.25" customHeight="1" x14ac:dyDescent="0.3"/>
    <row r="127" s="4" customFormat="1" ht="14.25" customHeight="1" x14ac:dyDescent="0.3"/>
    <row r="128" s="4" customFormat="1" ht="14.25" customHeight="1" x14ac:dyDescent="0.3"/>
    <row r="129" s="4" customFormat="1" ht="14.25" customHeight="1" x14ac:dyDescent="0.3"/>
    <row r="130" s="4" customFormat="1" ht="14.25" customHeight="1" x14ac:dyDescent="0.3"/>
    <row r="131" s="4" customFormat="1" ht="14.25" customHeight="1" x14ac:dyDescent="0.3"/>
    <row r="132" s="4" customFormat="1" ht="14.25" customHeight="1" x14ac:dyDescent="0.3"/>
    <row r="133" s="4" customFormat="1" ht="14.25" customHeight="1" x14ac:dyDescent="0.3"/>
    <row r="134" s="4" customFormat="1" ht="14.25" customHeight="1" x14ac:dyDescent="0.3"/>
    <row r="135" s="4" customFormat="1" ht="14.25" customHeight="1" x14ac:dyDescent="0.3"/>
    <row r="136" s="4" customFormat="1" ht="14.25" customHeight="1" x14ac:dyDescent="0.3"/>
    <row r="137" s="4" customFormat="1" ht="14.25" customHeight="1" x14ac:dyDescent="0.3"/>
    <row r="138" s="4" customFormat="1" ht="14.25" customHeight="1" x14ac:dyDescent="0.3"/>
    <row r="139" s="4" customFormat="1" ht="14.25" customHeight="1" x14ac:dyDescent="0.3"/>
    <row r="140" s="4" customFormat="1" ht="14.25" customHeight="1" x14ac:dyDescent="0.3"/>
    <row r="141" s="4" customFormat="1" ht="14.25" customHeight="1" x14ac:dyDescent="0.3"/>
    <row r="142" s="4" customFormat="1" ht="14.25" customHeight="1" x14ac:dyDescent="0.3"/>
    <row r="143" s="4" customFormat="1" ht="14.25" customHeight="1" x14ac:dyDescent="0.3"/>
    <row r="144" s="4" customFormat="1" ht="14.25" customHeight="1" x14ac:dyDescent="0.3"/>
    <row r="145" s="4" customFormat="1" ht="14.25" customHeight="1" x14ac:dyDescent="0.3"/>
    <row r="146" s="4" customFormat="1" ht="14.25" customHeight="1" x14ac:dyDescent="0.3"/>
    <row r="147" s="4" customFormat="1" ht="14.25" customHeight="1" x14ac:dyDescent="0.3"/>
    <row r="148" s="4" customFormat="1" ht="14.25" customHeight="1" x14ac:dyDescent="0.3"/>
    <row r="149" s="4" customFormat="1" ht="14.25" customHeight="1" x14ac:dyDescent="0.3"/>
    <row r="150" s="4" customFormat="1" ht="14.25" customHeight="1" x14ac:dyDescent="0.3"/>
    <row r="151" s="4" customFormat="1" ht="14.25" customHeight="1" x14ac:dyDescent="0.3"/>
    <row r="152" s="4" customFormat="1" ht="14.25" customHeight="1" x14ac:dyDescent="0.3"/>
    <row r="153" s="4" customFormat="1" ht="14.25" customHeight="1" x14ac:dyDescent="0.3"/>
    <row r="154" s="4" customFormat="1" ht="14.25" customHeight="1" x14ac:dyDescent="0.3"/>
    <row r="155" s="4" customFormat="1" ht="14.25" customHeight="1" x14ac:dyDescent="0.3"/>
    <row r="156" s="4" customFormat="1" ht="14.25" customHeight="1" x14ac:dyDescent="0.3"/>
    <row r="157" s="4" customFormat="1" ht="14.25" customHeight="1" x14ac:dyDescent="0.3"/>
    <row r="158" s="4" customFormat="1" ht="14.25" customHeight="1" x14ac:dyDescent="0.3"/>
    <row r="159" s="4" customFormat="1" ht="14.25" customHeight="1" x14ac:dyDescent="0.3"/>
    <row r="160" s="4" customFormat="1" ht="14.25" customHeight="1" x14ac:dyDescent="0.3"/>
    <row r="161" s="4" customFormat="1" ht="14.25" customHeight="1" x14ac:dyDescent="0.3"/>
    <row r="162" s="4" customFormat="1" ht="14.25" customHeight="1" x14ac:dyDescent="0.3"/>
    <row r="163" s="4" customFormat="1" ht="14.25" customHeight="1" x14ac:dyDescent="0.3"/>
    <row r="164" s="4" customFormat="1" ht="14.25" customHeight="1" x14ac:dyDescent="0.3"/>
    <row r="165" s="4" customFormat="1" ht="14.25" customHeight="1" x14ac:dyDescent="0.3"/>
    <row r="166" s="4" customFormat="1" ht="14.25" customHeight="1" x14ac:dyDescent="0.3"/>
    <row r="167" s="4" customFormat="1" ht="14.25" customHeight="1" x14ac:dyDescent="0.3"/>
    <row r="168" s="4" customFormat="1" ht="14.25" customHeight="1" x14ac:dyDescent="0.3"/>
    <row r="169" s="4" customFormat="1" ht="14.25" customHeight="1" x14ac:dyDescent="0.3"/>
    <row r="170" s="4" customFormat="1" ht="14.25" customHeight="1" x14ac:dyDescent="0.3"/>
    <row r="171" s="4" customFormat="1" ht="14.25" customHeight="1" x14ac:dyDescent="0.3"/>
    <row r="172" s="4" customFormat="1" ht="14.25" customHeight="1" x14ac:dyDescent="0.3"/>
    <row r="173" s="4" customFormat="1" ht="14.25" customHeight="1" x14ac:dyDescent="0.3"/>
    <row r="174" s="4" customFormat="1" ht="14.25" customHeight="1" x14ac:dyDescent="0.3"/>
    <row r="175" s="4" customFormat="1" ht="14.25" customHeight="1" x14ac:dyDescent="0.3"/>
    <row r="176" s="4" customFormat="1" ht="14.25" customHeight="1" x14ac:dyDescent="0.3"/>
    <row r="177" s="4" customFormat="1" ht="14.25" customHeight="1" x14ac:dyDescent="0.3"/>
    <row r="178" s="4" customFormat="1" ht="14.25" customHeight="1" x14ac:dyDescent="0.3"/>
    <row r="179" s="4" customFormat="1" ht="14.25" customHeight="1" x14ac:dyDescent="0.3"/>
    <row r="180" s="4" customFormat="1" ht="14.25" customHeight="1" x14ac:dyDescent="0.3"/>
    <row r="181" s="4" customFormat="1" ht="14.25" customHeight="1" x14ac:dyDescent="0.3"/>
    <row r="182" s="4" customFormat="1" ht="14.25" customHeight="1" x14ac:dyDescent="0.3"/>
    <row r="183" s="4" customFormat="1" ht="14.25" customHeight="1" x14ac:dyDescent="0.3"/>
    <row r="184" s="4" customFormat="1" ht="14.25" customHeight="1" x14ac:dyDescent="0.3"/>
    <row r="185" s="4" customFormat="1" ht="14.25" customHeight="1" x14ac:dyDescent="0.3"/>
    <row r="186" s="4" customFormat="1" ht="14.25" customHeight="1" x14ac:dyDescent="0.3"/>
    <row r="187" s="4" customFormat="1" ht="14.25" customHeight="1" x14ac:dyDescent="0.3"/>
    <row r="188" s="4" customFormat="1" ht="14.25" customHeight="1" x14ac:dyDescent="0.3"/>
    <row r="189" s="4" customFormat="1" ht="14.25" customHeight="1" x14ac:dyDescent="0.3"/>
    <row r="190" s="4" customFormat="1" ht="14.25" customHeight="1" x14ac:dyDescent="0.3"/>
    <row r="191" s="4" customFormat="1" ht="14.25" customHeight="1" x14ac:dyDescent="0.3"/>
    <row r="192" s="4" customFormat="1" ht="14.25" customHeight="1" x14ac:dyDescent="0.3"/>
    <row r="193" s="4" customFormat="1" ht="14.25" customHeight="1" x14ac:dyDescent="0.3"/>
    <row r="194" s="4" customFormat="1" ht="14.25" customHeight="1" x14ac:dyDescent="0.3"/>
    <row r="195" s="4" customFormat="1" ht="14.25" customHeight="1" x14ac:dyDescent="0.3"/>
    <row r="196" s="4" customFormat="1" ht="14.25" customHeight="1" x14ac:dyDescent="0.3"/>
    <row r="197" s="4" customFormat="1" ht="14.25" customHeight="1" x14ac:dyDescent="0.3"/>
    <row r="198" s="4" customFormat="1" ht="14.25" customHeight="1" x14ac:dyDescent="0.3"/>
    <row r="199" s="4" customFormat="1" ht="14.25" customHeight="1" x14ac:dyDescent="0.3"/>
    <row r="200" s="4" customFormat="1" ht="14.25" customHeight="1" x14ac:dyDescent="0.3"/>
    <row r="201" s="4" customFormat="1" ht="14.25" customHeight="1" x14ac:dyDescent="0.3"/>
    <row r="202" s="4" customFormat="1" ht="14.25" customHeight="1" x14ac:dyDescent="0.3"/>
    <row r="203" s="4" customFormat="1" ht="14.25" customHeight="1" x14ac:dyDescent="0.3"/>
    <row r="204" s="4" customFormat="1" ht="14.25" customHeight="1" x14ac:dyDescent="0.3"/>
    <row r="205" s="4" customFormat="1" ht="14.25" customHeight="1" x14ac:dyDescent="0.3"/>
    <row r="206" s="4" customFormat="1" ht="14.25" customHeight="1" x14ac:dyDescent="0.3"/>
    <row r="207" s="4" customFormat="1" ht="14.25" customHeight="1" x14ac:dyDescent="0.3"/>
    <row r="208" s="4" customFormat="1" ht="14.25" customHeight="1" x14ac:dyDescent="0.3"/>
    <row r="209" s="4" customFormat="1" ht="14.25" customHeight="1" x14ac:dyDescent="0.3"/>
    <row r="210" s="4" customFormat="1" ht="14.25" customHeight="1" x14ac:dyDescent="0.3"/>
    <row r="211" s="4" customFormat="1" ht="14.25" customHeight="1" x14ac:dyDescent="0.3"/>
    <row r="212" s="4" customFormat="1" ht="14.25" customHeight="1" x14ac:dyDescent="0.3"/>
    <row r="213" s="4" customFormat="1" ht="14.25" customHeight="1" x14ac:dyDescent="0.3"/>
    <row r="214" s="4" customFormat="1" ht="14.25" customHeight="1" x14ac:dyDescent="0.3"/>
    <row r="215" s="4" customFormat="1" ht="14.25" customHeight="1" x14ac:dyDescent="0.3"/>
    <row r="216" s="4" customFormat="1" ht="14.25" customHeight="1" x14ac:dyDescent="0.3"/>
    <row r="217" s="4" customFormat="1" ht="14.25" customHeight="1" x14ac:dyDescent="0.3"/>
    <row r="218" s="4" customFormat="1" ht="14.25" customHeight="1" x14ac:dyDescent="0.3"/>
    <row r="219" s="4" customFormat="1" ht="14.25" customHeight="1" x14ac:dyDescent="0.3"/>
    <row r="220" s="4" customFormat="1" ht="14.25" customHeight="1" x14ac:dyDescent="0.3"/>
    <row r="221" s="4" customFormat="1" ht="14.25" customHeight="1" x14ac:dyDescent="0.3"/>
    <row r="222" s="4" customFormat="1" ht="14.25" customHeight="1" x14ac:dyDescent="0.3"/>
    <row r="223" s="4" customFormat="1" ht="14.25" customHeight="1" x14ac:dyDescent="0.3"/>
    <row r="224" s="4" customFormat="1" ht="14.25" customHeight="1" x14ac:dyDescent="0.3"/>
    <row r="225" s="4" customFormat="1" ht="14.25" customHeight="1" x14ac:dyDescent="0.3"/>
    <row r="226" s="4" customFormat="1" ht="14.25" customHeight="1" x14ac:dyDescent="0.3"/>
    <row r="227" s="4" customFormat="1" ht="14.25" customHeight="1" x14ac:dyDescent="0.3"/>
    <row r="228" s="4" customFormat="1" ht="14.25" customHeight="1" x14ac:dyDescent="0.3"/>
    <row r="229" s="4" customFormat="1" ht="14.25" customHeight="1" x14ac:dyDescent="0.3"/>
    <row r="230" s="4" customFormat="1" ht="14.25" customHeight="1" x14ac:dyDescent="0.3"/>
    <row r="231" s="4" customFormat="1" ht="14.25" customHeight="1" x14ac:dyDescent="0.3"/>
    <row r="232" s="4" customFormat="1" ht="14.25" customHeight="1" x14ac:dyDescent="0.3"/>
    <row r="233" s="4" customFormat="1" ht="14.25" customHeight="1" x14ac:dyDescent="0.3"/>
    <row r="234" s="4" customFormat="1" ht="14.25" customHeight="1" x14ac:dyDescent="0.3"/>
    <row r="235" s="4" customFormat="1" ht="14.25" customHeight="1" x14ac:dyDescent="0.3"/>
    <row r="236" s="4" customFormat="1" ht="14.25" customHeight="1" x14ac:dyDescent="0.3"/>
    <row r="237" s="4" customFormat="1" ht="14.25" customHeight="1" x14ac:dyDescent="0.3"/>
    <row r="238" s="4" customFormat="1" ht="14.25" customHeight="1" x14ac:dyDescent="0.3"/>
    <row r="239" s="4" customFormat="1" ht="14.25" customHeight="1" x14ac:dyDescent="0.3"/>
    <row r="240" s="4" customFormat="1" ht="14.25" customHeight="1" x14ac:dyDescent="0.3"/>
    <row r="241" s="4" customFormat="1" ht="14.25" customHeight="1" x14ac:dyDescent="0.3"/>
    <row r="242" s="4" customFormat="1" ht="14.25" customHeight="1" x14ac:dyDescent="0.3"/>
    <row r="243" s="4" customFormat="1" ht="14.25" customHeight="1" x14ac:dyDescent="0.3"/>
    <row r="244" s="4" customFormat="1" ht="14.25" customHeight="1" x14ac:dyDescent="0.3"/>
    <row r="245" s="4" customFormat="1" ht="14.25" customHeight="1" x14ac:dyDescent="0.3"/>
    <row r="246" s="4" customFormat="1" ht="14.25" customHeight="1" x14ac:dyDescent="0.3"/>
    <row r="247" s="4" customFormat="1" ht="14.25" customHeight="1" x14ac:dyDescent="0.3"/>
    <row r="248" s="4" customFormat="1" ht="14.25" customHeight="1" x14ac:dyDescent="0.3"/>
    <row r="249" s="4" customFormat="1" ht="14.25" customHeight="1" x14ac:dyDescent="0.3"/>
    <row r="250" s="4" customFormat="1" ht="14.25" customHeight="1" x14ac:dyDescent="0.3"/>
    <row r="251" s="4" customFormat="1" ht="14.25" customHeight="1" x14ac:dyDescent="0.3"/>
    <row r="252" s="4" customFormat="1" ht="14.25" customHeight="1" x14ac:dyDescent="0.3"/>
    <row r="253" s="4" customFormat="1" ht="14.25" customHeight="1" x14ac:dyDescent="0.3"/>
    <row r="254" s="4" customFormat="1" ht="14.25" customHeight="1" x14ac:dyDescent="0.3"/>
    <row r="255" s="4" customFormat="1" ht="14.25" customHeight="1" x14ac:dyDescent="0.3"/>
    <row r="256" s="4" customFormat="1" ht="14.25" customHeight="1" x14ac:dyDescent="0.3"/>
    <row r="257" s="4" customFormat="1" ht="14.25" customHeight="1" x14ac:dyDescent="0.3"/>
    <row r="258" s="4" customFormat="1" ht="14.25" customHeight="1" x14ac:dyDescent="0.3"/>
    <row r="259" s="4" customFormat="1" ht="14.25" customHeight="1" x14ac:dyDescent="0.3"/>
    <row r="260" s="4" customFormat="1" ht="14.25" customHeight="1" x14ac:dyDescent="0.3"/>
    <row r="261" s="4" customFormat="1" ht="14.25" customHeight="1" x14ac:dyDescent="0.3"/>
    <row r="262" s="4" customFormat="1" ht="14.25" customHeight="1" x14ac:dyDescent="0.3"/>
    <row r="263" s="4" customFormat="1" ht="14.25" customHeight="1" x14ac:dyDescent="0.3"/>
    <row r="264" s="4" customFormat="1" ht="14.25" customHeight="1" x14ac:dyDescent="0.3"/>
    <row r="265" s="4" customFormat="1" ht="14.25" customHeight="1" x14ac:dyDescent="0.3"/>
    <row r="266" s="4" customFormat="1" ht="14.25" customHeight="1" x14ac:dyDescent="0.3"/>
    <row r="267" s="4" customFormat="1" ht="14.25" customHeight="1" x14ac:dyDescent="0.3"/>
    <row r="268" s="4" customFormat="1" ht="14.25" customHeight="1" x14ac:dyDescent="0.3"/>
    <row r="269" s="4" customFormat="1" ht="14.25" customHeight="1" x14ac:dyDescent="0.3"/>
    <row r="270" s="4" customFormat="1" ht="14.25" customHeight="1" x14ac:dyDescent="0.3"/>
    <row r="271" s="4" customFormat="1" ht="14.25" customHeight="1" x14ac:dyDescent="0.3"/>
    <row r="272" s="4" customFormat="1" ht="14.25" customHeight="1" x14ac:dyDescent="0.3"/>
    <row r="273" s="4" customFormat="1" ht="14.25" customHeight="1" x14ac:dyDescent="0.3"/>
    <row r="274" s="4" customFormat="1" ht="14.25" customHeight="1" x14ac:dyDescent="0.3"/>
    <row r="275" s="4" customFormat="1" ht="14.25" customHeight="1" x14ac:dyDescent="0.3"/>
    <row r="276" s="4" customFormat="1" ht="14.25" customHeight="1" x14ac:dyDescent="0.3"/>
    <row r="277" s="4" customFormat="1" ht="14.25" customHeight="1" x14ac:dyDescent="0.3"/>
    <row r="278" s="4" customFormat="1" ht="14.25" customHeight="1" x14ac:dyDescent="0.3"/>
    <row r="279" s="4" customFormat="1" ht="14.25" customHeight="1" x14ac:dyDescent="0.3"/>
    <row r="280" s="4" customFormat="1" ht="14.25" customHeight="1" x14ac:dyDescent="0.3"/>
    <row r="281" s="4" customFormat="1" ht="14.25" customHeight="1" x14ac:dyDescent="0.3"/>
    <row r="282" s="4" customFormat="1" ht="14.25" customHeight="1" x14ac:dyDescent="0.3"/>
    <row r="283" s="4" customFormat="1" ht="14.25" customHeight="1" x14ac:dyDescent="0.3"/>
    <row r="284" s="4" customFormat="1" ht="14.25" customHeight="1" x14ac:dyDescent="0.3"/>
    <row r="285" s="4" customFormat="1" ht="14.25" customHeight="1" x14ac:dyDescent="0.3"/>
    <row r="286" s="4" customFormat="1" ht="14.25" customHeight="1" x14ac:dyDescent="0.3"/>
    <row r="287" s="4" customFormat="1" ht="14.25" customHeight="1" x14ac:dyDescent="0.3"/>
    <row r="288" s="4" customFormat="1" ht="14.25" customHeight="1" x14ac:dyDescent="0.3"/>
    <row r="289" s="4" customFormat="1" ht="14.25" customHeight="1" x14ac:dyDescent="0.3"/>
    <row r="290" s="4" customFormat="1" ht="14.25" customHeight="1" x14ac:dyDescent="0.3"/>
    <row r="291" s="4" customFormat="1" ht="14.25" customHeight="1" x14ac:dyDescent="0.3"/>
    <row r="292" s="4" customFormat="1" ht="14.25" customHeight="1" x14ac:dyDescent="0.3"/>
    <row r="293" s="4" customFormat="1" ht="14.25" customHeight="1" x14ac:dyDescent="0.3"/>
    <row r="294" s="4" customFormat="1" ht="14.25" customHeight="1" x14ac:dyDescent="0.3"/>
    <row r="295" s="4" customFormat="1" ht="14.25" customHeight="1" x14ac:dyDescent="0.3"/>
    <row r="296" s="4" customFormat="1" ht="14.25" customHeight="1" x14ac:dyDescent="0.3"/>
    <row r="297" s="4" customFormat="1" ht="14.25" customHeight="1" x14ac:dyDescent="0.3"/>
    <row r="298" s="4" customFormat="1" ht="14.25" customHeight="1" x14ac:dyDescent="0.3"/>
    <row r="299" s="4" customFormat="1" ht="14.25" customHeight="1" x14ac:dyDescent="0.3"/>
    <row r="300" s="4" customFormat="1" ht="14.25" customHeight="1" x14ac:dyDescent="0.3"/>
    <row r="301" s="4" customFormat="1" ht="14.25" customHeight="1" x14ac:dyDescent="0.3"/>
    <row r="302" s="4" customFormat="1" ht="14.25" customHeight="1" x14ac:dyDescent="0.3"/>
    <row r="303" s="4" customFormat="1" ht="14.25" customHeight="1" x14ac:dyDescent="0.3"/>
    <row r="304" s="4" customFormat="1" ht="14.25" customHeight="1" x14ac:dyDescent="0.3"/>
    <row r="305" s="4" customFormat="1" ht="14.25" customHeight="1" x14ac:dyDescent="0.3"/>
    <row r="306" s="4" customFormat="1" ht="14.25" customHeight="1" x14ac:dyDescent="0.3"/>
    <row r="307" s="4" customFormat="1" ht="14.25" customHeight="1" x14ac:dyDescent="0.3"/>
    <row r="308" s="4" customFormat="1" ht="14.25" customHeight="1" x14ac:dyDescent="0.3"/>
    <row r="309" s="4" customFormat="1" ht="14.25" customHeight="1" x14ac:dyDescent="0.3"/>
    <row r="310" s="4" customFormat="1" ht="14.25" customHeight="1" x14ac:dyDescent="0.3"/>
    <row r="311" s="4" customFormat="1" ht="14.25" customHeight="1" x14ac:dyDescent="0.3"/>
    <row r="312" s="4" customFormat="1" ht="14.25" customHeight="1" x14ac:dyDescent="0.3"/>
    <row r="313" s="4" customFormat="1" ht="14.25" customHeight="1" x14ac:dyDescent="0.3"/>
    <row r="314" s="4" customFormat="1" ht="14.25" customHeight="1" x14ac:dyDescent="0.3"/>
    <row r="315" s="4" customFormat="1" ht="14.25" customHeight="1" x14ac:dyDescent="0.3"/>
    <row r="316" s="4" customFormat="1" ht="14.25" customHeight="1" x14ac:dyDescent="0.3"/>
    <row r="317" s="4" customFormat="1" ht="14.25" customHeight="1" x14ac:dyDescent="0.3"/>
    <row r="318" s="4" customFormat="1" ht="14.25" customHeight="1" x14ac:dyDescent="0.3"/>
    <row r="319" s="4" customFormat="1" ht="14.25" customHeight="1" x14ac:dyDescent="0.3"/>
    <row r="320" s="4" customFormat="1" ht="14.25" customHeight="1" x14ac:dyDescent="0.3"/>
    <row r="321" s="4" customFormat="1" ht="14.25" customHeight="1" x14ac:dyDescent="0.3"/>
    <row r="322" s="4" customFormat="1" ht="14.25" customHeight="1" x14ac:dyDescent="0.3"/>
    <row r="323" s="4" customFormat="1" ht="14.25" customHeight="1" x14ac:dyDescent="0.3"/>
    <row r="324" s="4" customFormat="1" ht="14.25" customHeight="1" x14ac:dyDescent="0.3"/>
    <row r="325" s="4" customFormat="1" ht="14.25" customHeight="1" x14ac:dyDescent="0.3"/>
    <row r="326" s="4" customFormat="1" ht="14.25" customHeight="1" x14ac:dyDescent="0.3"/>
    <row r="327" s="4" customFormat="1" ht="14.25" customHeight="1" x14ac:dyDescent="0.3"/>
    <row r="328" s="4" customFormat="1" ht="14.25" customHeight="1" x14ac:dyDescent="0.3"/>
    <row r="329" s="4" customFormat="1" ht="14.25" customHeight="1" x14ac:dyDescent="0.3"/>
    <row r="330" s="4" customFormat="1" ht="14.25" customHeight="1" x14ac:dyDescent="0.3"/>
    <row r="331" s="4" customFormat="1" ht="14.25" customHeight="1" x14ac:dyDescent="0.3"/>
    <row r="332" s="4" customFormat="1" ht="14.25" customHeight="1" x14ac:dyDescent="0.3"/>
    <row r="333" s="4" customFormat="1" ht="14.25" customHeight="1" x14ac:dyDescent="0.3"/>
    <row r="334" s="4" customFormat="1" ht="14.25" customHeight="1" x14ac:dyDescent="0.3"/>
    <row r="335" s="4" customFormat="1" ht="14.25" customHeight="1" x14ac:dyDescent="0.3"/>
    <row r="336" s="4" customFormat="1" ht="14.25" customHeight="1" x14ac:dyDescent="0.3"/>
    <row r="337" s="4" customFormat="1" ht="14.25" customHeight="1" x14ac:dyDescent="0.3"/>
    <row r="338" s="4" customFormat="1" ht="14.25" customHeight="1" x14ac:dyDescent="0.3"/>
    <row r="339" s="4" customFormat="1" ht="14.25" customHeight="1" x14ac:dyDescent="0.3"/>
    <row r="340" s="4" customFormat="1" ht="14.25" customHeight="1" x14ac:dyDescent="0.3"/>
    <row r="341" s="4" customFormat="1" ht="14.25" customHeight="1" x14ac:dyDescent="0.3"/>
    <row r="342" s="4" customFormat="1" ht="14.25" customHeight="1" x14ac:dyDescent="0.3"/>
    <row r="343" s="4" customFormat="1" ht="14.25" customHeight="1" x14ac:dyDescent="0.3"/>
    <row r="344" s="4" customFormat="1" ht="14.25" customHeight="1" x14ac:dyDescent="0.3"/>
    <row r="345" s="4" customFormat="1" ht="14.25" customHeight="1" x14ac:dyDescent="0.3"/>
    <row r="346" s="4" customFormat="1" ht="14.25" customHeight="1" x14ac:dyDescent="0.3"/>
    <row r="347" s="4" customFormat="1" ht="14.25" customHeight="1" x14ac:dyDescent="0.3"/>
    <row r="348" s="4" customFormat="1" ht="14.25" customHeight="1" x14ac:dyDescent="0.3"/>
    <row r="349" s="4" customFormat="1" ht="14.25" customHeight="1" x14ac:dyDescent="0.3"/>
    <row r="350" s="4" customFormat="1" ht="14.25" customHeight="1" x14ac:dyDescent="0.3"/>
    <row r="351" s="4" customFormat="1" ht="14.25" customHeight="1" x14ac:dyDescent="0.3"/>
    <row r="352" s="4" customFormat="1" ht="14.25" customHeight="1" x14ac:dyDescent="0.3"/>
    <row r="353" s="4" customFormat="1" ht="14.25" customHeight="1" x14ac:dyDescent="0.3"/>
    <row r="354" s="4" customFormat="1" ht="14.25" customHeight="1" x14ac:dyDescent="0.3"/>
    <row r="355" s="4" customFormat="1" ht="14.25" customHeight="1" x14ac:dyDescent="0.3"/>
    <row r="356" s="4" customFormat="1" ht="14.25" customHeight="1" x14ac:dyDescent="0.3"/>
    <row r="357" s="4" customFormat="1" ht="14.25" customHeight="1" x14ac:dyDescent="0.3"/>
    <row r="358" s="4" customFormat="1" ht="14.25" customHeight="1" x14ac:dyDescent="0.3"/>
    <row r="359" s="4" customFormat="1" ht="14.25" customHeight="1" x14ac:dyDescent="0.3"/>
    <row r="360" s="4" customFormat="1" ht="14.25" customHeight="1" x14ac:dyDescent="0.3"/>
    <row r="361" s="4" customFormat="1" ht="14.25" customHeight="1" x14ac:dyDescent="0.3"/>
    <row r="362" s="4" customFormat="1" ht="14.25" customHeight="1" x14ac:dyDescent="0.3"/>
    <row r="363" s="4" customFormat="1" ht="14.25" customHeight="1" x14ac:dyDescent="0.3"/>
    <row r="364" s="4" customFormat="1" ht="14.25" customHeight="1" x14ac:dyDescent="0.3"/>
    <row r="365" s="4" customFormat="1" ht="14.25" customHeight="1" x14ac:dyDescent="0.3"/>
    <row r="366" s="4" customFormat="1" ht="14.25" customHeight="1" x14ac:dyDescent="0.3"/>
    <row r="367" s="4" customFormat="1" ht="14.25" customHeight="1" x14ac:dyDescent="0.3"/>
    <row r="368" s="4" customFormat="1" ht="14.25" customHeight="1" x14ac:dyDescent="0.3"/>
    <row r="369" s="4" customFormat="1" ht="14.25" customHeight="1" x14ac:dyDescent="0.3"/>
    <row r="370" s="4" customFormat="1" ht="14.25" customHeight="1" x14ac:dyDescent="0.3"/>
    <row r="371" s="4" customFormat="1" ht="14.25" customHeight="1" x14ac:dyDescent="0.3"/>
    <row r="372" s="4" customFormat="1" ht="14.25" customHeight="1" x14ac:dyDescent="0.3"/>
    <row r="373" s="4" customFormat="1" ht="14.25" customHeight="1" x14ac:dyDescent="0.3"/>
    <row r="374" s="4" customFormat="1" ht="14.25" customHeight="1" x14ac:dyDescent="0.3"/>
    <row r="375" s="4" customFormat="1" ht="14.25" customHeight="1" x14ac:dyDescent="0.3"/>
    <row r="376" s="4" customFormat="1" ht="14.25" customHeight="1" x14ac:dyDescent="0.3"/>
    <row r="377" s="4" customFormat="1" ht="14.25" customHeight="1" x14ac:dyDescent="0.3"/>
    <row r="378" s="4" customFormat="1" ht="14.25" customHeight="1" x14ac:dyDescent="0.3"/>
    <row r="379" s="4" customFormat="1" ht="14.25" customHeight="1" x14ac:dyDescent="0.3"/>
    <row r="380" s="4" customFormat="1" ht="14.25" customHeight="1" x14ac:dyDescent="0.3"/>
    <row r="381" s="4" customFormat="1" ht="14.25" customHeight="1" x14ac:dyDescent="0.3"/>
    <row r="382" s="4" customFormat="1" ht="14.25" customHeight="1" x14ac:dyDescent="0.3"/>
    <row r="383" s="4" customFormat="1" ht="14.25" customHeight="1" x14ac:dyDescent="0.3"/>
    <row r="384" s="4" customFormat="1" ht="14.25" customHeight="1" x14ac:dyDescent="0.3"/>
    <row r="385" s="4" customFormat="1" ht="14.25" customHeight="1" x14ac:dyDescent="0.3"/>
    <row r="386" s="4" customFormat="1" ht="14.25" customHeight="1" x14ac:dyDescent="0.3"/>
    <row r="387" s="4" customFormat="1" ht="14.25" customHeight="1" x14ac:dyDescent="0.3"/>
    <row r="388" s="4" customFormat="1" ht="14.25" customHeight="1" x14ac:dyDescent="0.3"/>
    <row r="389" s="4" customFormat="1" ht="14.25" customHeight="1" x14ac:dyDescent="0.3"/>
    <row r="390" s="4" customFormat="1" ht="14.25" customHeight="1" x14ac:dyDescent="0.3"/>
    <row r="391" s="4" customFormat="1" ht="14.25" customHeight="1" x14ac:dyDescent="0.3"/>
    <row r="392" s="4" customFormat="1" ht="14.25" customHeight="1" x14ac:dyDescent="0.3"/>
    <row r="393" s="4" customFormat="1" ht="14.25" customHeight="1" x14ac:dyDescent="0.3"/>
    <row r="394" s="4" customFormat="1" ht="14.25" customHeight="1" x14ac:dyDescent="0.3"/>
    <row r="395" s="4" customFormat="1" ht="14.25" customHeight="1" x14ac:dyDescent="0.3"/>
    <row r="396" s="4" customFormat="1" ht="14.25" customHeight="1" x14ac:dyDescent="0.3"/>
    <row r="397" s="4" customFormat="1" ht="14.25" customHeight="1" x14ac:dyDescent="0.3"/>
    <row r="398" s="4" customFormat="1" ht="14.25" customHeight="1" x14ac:dyDescent="0.3"/>
    <row r="399" s="4" customFormat="1" ht="14.25" customHeight="1" x14ac:dyDescent="0.3"/>
    <row r="400" s="4" customFormat="1" ht="14.25" customHeight="1" x14ac:dyDescent="0.3"/>
    <row r="401" s="4" customFormat="1" ht="14.25" customHeight="1" x14ac:dyDescent="0.3"/>
    <row r="402" s="4" customFormat="1" ht="14.25" customHeight="1" x14ac:dyDescent="0.3"/>
    <row r="403" s="4" customFormat="1" ht="14.25" customHeight="1" x14ac:dyDescent="0.3"/>
    <row r="404" s="4" customFormat="1" ht="14.25" customHeight="1" x14ac:dyDescent="0.3"/>
    <row r="405" s="4" customFormat="1" ht="14.25" customHeight="1" x14ac:dyDescent="0.3"/>
    <row r="406" s="4" customFormat="1" ht="14.25" customHeight="1" x14ac:dyDescent="0.3"/>
    <row r="407" s="4" customFormat="1" ht="14.25" customHeight="1" x14ac:dyDescent="0.3"/>
    <row r="408" s="4" customFormat="1" ht="14.25" customHeight="1" x14ac:dyDescent="0.3"/>
    <row r="409" s="4" customFormat="1" ht="14.25" customHeight="1" x14ac:dyDescent="0.3"/>
    <row r="410" s="4" customFormat="1" ht="14.25" customHeight="1" x14ac:dyDescent="0.3"/>
    <row r="411" s="4" customFormat="1" ht="14.25" customHeight="1" x14ac:dyDescent="0.3"/>
    <row r="412" s="4" customFormat="1" ht="14.25" customHeight="1" x14ac:dyDescent="0.3"/>
    <row r="413" s="4" customFormat="1" ht="14.25" customHeight="1" x14ac:dyDescent="0.3"/>
    <row r="414" s="4" customFormat="1" ht="14.25" customHeight="1" x14ac:dyDescent="0.3"/>
    <row r="415" s="4" customFormat="1" ht="14.25" customHeight="1" x14ac:dyDescent="0.3"/>
    <row r="416" s="4" customFormat="1" ht="14.25" customHeight="1" x14ac:dyDescent="0.3"/>
    <row r="417" s="4" customFormat="1" ht="14.25" customHeight="1" x14ac:dyDescent="0.3"/>
    <row r="418" s="4" customFormat="1" ht="14.25" customHeight="1" x14ac:dyDescent="0.3"/>
    <row r="419" s="4" customFormat="1" ht="14.25" customHeight="1" x14ac:dyDescent="0.3"/>
    <row r="420" s="4" customFormat="1" ht="14.25" customHeight="1" x14ac:dyDescent="0.3"/>
    <row r="421" s="4" customFormat="1" ht="14.25" customHeight="1" x14ac:dyDescent="0.3"/>
    <row r="422" s="4" customFormat="1" ht="14.25" customHeight="1" x14ac:dyDescent="0.3"/>
    <row r="423" s="4" customFormat="1" ht="14.25" customHeight="1" x14ac:dyDescent="0.3"/>
    <row r="424" s="4" customFormat="1" ht="14.25" customHeight="1" x14ac:dyDescent="0.3"/>
    <row r="425" s="4" customFormat="1" ht="14.25" customHeight="1" x14ac:dyDescent="0.3"/>
    <row r="426" s="4" customFormat="1" ht="14.25" customHeight="1" x14ac:dyDescent="0.3"/>
    <row r="427" s="4" customFormat="1" ht="14.25" customHeight="1" x14ac:dyDescent="0.3"/>
    <row r="428" s="4" customFormat="1" ht="14.25" customHeight="1" x14ac:dyDescent="0.3"/>
    <row r="429" s="4" customFormat="1" ht="14.25" customHeight="1" x14ac:dyDescent="0.3"/>
    <row r="430" s="4" customFormat="1" ht="14.25" customHeight="1" x14ac:dyDescent="0.3"/>
    <row r="431" s="4" customFormat="1" ht="14.25" customHeight="1" x14ac:dyDescent="0.3"/>
    <row r="432" s="4" customFormat="1" ht="14.25" customHeight="1" x14ac:dyDescent="0.3"/>
    <row r="433" s="4" customFormat="1" ht="14.25" customHeight="1" x14ac:dyDescent="0.3"/>
    <row r="434" s="4" customFormat="1" ht="14.25" customHeight="1" x14ac:dyDescent="0.3"/>
    <row r="435" s="4" customFormat="1" ht="14.25" customHeight="1" x14ac:dyDescent="0.3"/>
    <row r="436" s="4" customFormat="1" ht="14.25" customHeight="1" x14ac:dyDescent="0.3"/>
    <row r="437" s="4" customFormat="1" ht="14.25" customHeight="1" x14ac:dyDescent="0.3"/>
    <row r="438" s="4" customFormat="1" ht="14.25" customHeight="1" x14ac:dyDescent="0.3"/>
    <row r="439" s="4" customFormat="1" ht="14.25" customHeight="1" x14ac:dyDescent="0.3"/>
    <row r="440" s="4" customFormat="1" ht="14.25" customHeight="1" x14ac:dyDescent="0.3"/>
    <row r="441" s="4" customFormat="1" ht="14.25" customHeight="1" x14ac:dyDescent="0.3"/>
    <row r="442" s="4" customFormat="1" ht="14.25" customHeight="1" x14ac:dyDescent="0.3"/>
    <row r="443" s="4" customFormat="1" ht="14.25" customHeight="1" x14ac:dyDescent="0.3"/>
    <row r="444" s="4" customFormat="1" ht="14.25" customHeight="1" x14ac:dyDescent="0.3"/>
    <row r="445" s="4" customFormat="1" ht="14.25" customHeight="1" x14ac:dyDescent="0.3"/>
    <row r="446" s="4" customFormat="1" ht="14.25" customHeight="1" x14ac:dyDescent="0.3"/>
    <row r="447" s="4" customFormat="1" ht="14.25" customHeight="1" x14ac:dyDescent="0.3"/>
    <row r="448" s="4" customFormat="1" ht="14.25" customHeight="1" x14ac:dyDescent="0.3"/>
    <row r="449" s="4" customFormat="1" ht="14.25" customHeight="1" x14ac:dyDescent="0.3"/>
    <row r="450" s="4" customFormat="1" ht="14.25" customHeight="1" x14ac:dyDescent="0.3"/>
    <row r="451" s="4" customFormat="1" ht="14.25" customHeight="1" x14ac:dyDescent="0.3"/>
    <row r="452" s="4" customFormat="1" ht="14.25" customHeight="1" x14ac:dyDescent="0.3"/>
    <row r="453" s="4" customFormat="1" ht="14.25" customHeight="1" x14ac:dyDescent="0.3"/>
    <row r="454" s="4" customFormat="1" ht="14.25" customHeight="1" x14ac:dyDescent="0.3"/>
    <row r="455" s="4" customFormat="1" ht="14.25" customHeight="1" x14ac:dyDescent="0.3"/>
    <row r="456" s="4" customFormat="1" ht="14.25" customHeight="1" x14ac:dyDescent="0.3"/>
    <row r="457" s="4" customFormat="1" ht="14.25" customHeight="1" x14ac:dyDescent="0.3"/>
    <row r="458" s="4" customFormat="1" ht="14.25" customHeight="1" x14ac:dyDescent="0.3"/>
    <row r="459" s="4" customFormat="1" ht="14.25" customHeight="1" x14ac:dyDescent="0.3"/>
    <row r="460" s="4" customFormat="1" ht="14.25" customHeight="1" x14ac:dyDescent="0.3"/>
    <row r="461" s="4" customFormat="1" ht="14.25" customHeight="1" x14ac:dyDescent="0.3"/>
    <row r="462" s="4" customFormat="1" ht="14.25" customHeight="1" x14ac:dyDescent="0.3"/>
    <row r="463" s="4" customFormat="1" ht="14.25" customHeight="1" x14ac:dyDescent="0.3"/>
    <row r="464" s="4" customFormat="1" ht="14.25" customHeight="1" x14ac:dyDescent="0.3"/>
    <row r="465" s="4" customFormat="1" ht="14.25" customHeight="1" x14ac:dyDescent="0.3"/>
    <row r="466" s="4" customFormat="1" ht="14.25" customHeight="1" x14ac:dyDescent="0.3"/>
    <row r="467" s="4" customFormat="1" ht="14.25" customHeight="1" x14ac:dyDescent="0.3"/>
    <row r="468" s="4" customFormat="1" ht="14.25" customHeight="1" x14ac:dyDescent="0.3"/>
    <row r="469" s="4" customFormat="1" ht="14.25" customHeight="1" x14ac:dyDescent="0.3"/>
    <row r="470" s="4" customFormat="1" ht="14.25" customHeight="1" x14ac:dyDescent="0.3"/>
    <row r="471" s="4" customFormat="1" ht="14.25" customHeight="1" x14ac:dyDescent="0.3"/>
    <row r="472" s="4" customFormat="1" ht="14.25" customHeight="1" x14ac:dyDescent="0.3"/>
    <row r="473" s="4" customFormat="1" ht="14.25" customHeight="1" x14ac:dyDescent="0.3"/>
    <row r="474" s="4" customFormat="1" ht="14.25" customHeight="1" x14ac:dyDescent="0.3"/>
    <row r="475" s="4" customFormat="1" ht="14.25" customHeight="1" x14ac:dyDescent="0.3"/>
    <row r="476" s="4" customFormat="1" ht="14.25" customHeight="1" x14ac:dyDescent="0.3"/>
    <row r="477" s="4" customFormat="1" ht="14.25" customHeight="1" x14ac:dyDescent="0.3"/>
    <row r="478" s="4" customFormat="1" ht="14.25" customHeight="1" x14ac:dyDescent="0.3"/>
    <row r="479" s="4" customFormat="1" ht="14.25" customHeight="1" x14ac:dyDescent="0.3"/>
    <row r="480" s="4" customFormat="1" ht="14.25" customHeight="1" x14ac:dyDescent="0.3"/>
    <row r="481" s="4" customFormat="1" ht="14.25" customHeight="1" x14ac:dyDescent="0.3"/>
    <row r="482" s="4" customFormat="1" ht="14.25" customHeight="1" x14ac:dyDescent="0.3"/>
    <row r="483" s="4" customFormat="1" ht="14.25" customHeight="1" x14ac:dyDescent="0.3"/>
    <row r="484" s="4" customFormat="1" ht="14.25" customHeight="1" x14ac:dyDescent="0.3"/>
    <row r="485" s="4" customFormat="1" ht="14.25" customHeight="1" x14ac:dyDescent="0.3"/>
    <row r="486" s="4" customFormat="1" ht="14.25" customHeight="1" x14ac:dyDescent="0.3"/>
    <row r="487" s="4" customFormat="1" ht="14.25" customHeight="1" x14ac:dyDescent="0.3"/>
    <row r="488" s="4" customFormat="1" ht="14.25" customHeight="1" x14ac:dyDescent="0.3"/>
    <row r="489" s="4" customFormat="1" ht="14.25" customHeight="1" x14ac:dyDescent="0.3"/>
    <row r="490" s="4" customFormat="1" ht="14.25" customHeight="1" x14ac:dyDescent="0.3"/>
    <row r="491" s="4" customFormat="1" ht="14.25" customHeight="1" x14ac:dyDescent="0.3"/>
    <row r="492" s="4" customFormat="1" ht="14.25" customHeight="1" x14ac:dyDescent="0.3"/>
    <row r="493" s="4" customFormat="1" ht="14.25" customHeight="1" x14ac:dyDescent="0.3"/>
    <row r="494" s="4" customFormat="1" ht="14.25" customHeight="1" x14ac:dyDescent="0.3"/>
    <row r="495" s="4" customFormat="1" ht="14.25" customHeight="1" x14ac:dyDescent="0.3"/>
    <row r="496" s="4" customFormat="1" ht="14.25" customHeight="1" x14ac:dyDescent="0.3"/>
    <row r="497" s="4" customFormat="1" ht="14.25" customHeight="1" x14ac:dyDescent="0.3"/>
    <row r="498" s="4" customFormat="1" ht="14.25" customHeight="1" x14ac:dyDescent="0.3"/>
    <row r="499" s="4" customFormat="1" ht="14.25" customHeight="1" x14ac:dyDescent="0.3"/>
    <row r="500" s="4" customFormat="1" ht="14.25" customHeight="1" x14ac:dyDescent="0.3"/>
    <row r="501" s="4" customFormat="1" ht="14.25" customHeight="1" x14ac:dyDescent="0.3"/>
    <row r="502" s="4" customFormat="1" ht="14.25" customHeight="1" x14ac:dyDescent="0.3"/>
    <row r="503" s="4" customFormat="1" ht="14.25" customHeight="1" x14ac:dyDescent="0.3"/>
    <row r="504" s="4" customFormat="1" ht="14.25" customHeight="1" x14ac:dyDescent="0.3"/>
    <row r="505" s="4" customFormat="1" ht="14.25" customHeight="1" x14ac:dyDescent="0.3"/>
    <row r="506" s="4" customFormat="1" ht="14.25" customHeight="1" x14ac:dyDescent="0.3"/>
    <row r="507" s="4" customFormat="1" ht="14.25" customHeight="1" x14ac:dyDescent="0.3"/>
    <row r="508" s="4" customFormat="1" ht="14.25" customHeight="1" x14ac:dyDescent="0.3"/>
    <row r="509" s="4" customFormat="1" ht="14.25" customHeight="1" x14ac:dyDescent="0.3"/>
    <row r="510" s="4" customFormat="1" ht="14.25" customHeight="1" x14ac:dyDescent="0.3"/>
    <row r="511" s="4" customFormat="1" ht="14.25" customHeight="1" x14ac:dyDescent="0.3"/>
    <row r="512" s="4" customFormat="1" ht="14.25" customHeight="1" x14ac:dyDescent="0.3"/>
    <row r="513" s="4" customFormat="1" ht="14.25" customHeight="1" x14ac:dyDescent="0.3"/>
    <row r="514" s="4" customFormat="1" ht="14.25" customHeight="1" x14ac:dyDescent="0.3"/>
    <row r="515" s="4" customFormat="1" ht="14.25" customHeight="1" x14ac:dyDescent="0.3"/>
    <row r="516" s="4" customFormat="1" ht="14.25" customHeight="1" x14ac:dyDescent="0.3"/>
    <row r="517" s="4" customFormat="1" ht="14.25" customHeight="1" x14ac:dyDescent="0.3"/>
    <row r="518" s="4" customFormat="1" ht="14.25" customHeight="1" x14ac:dyDescent="0.3"/>
    <row r="519" s="4" customFormat="1" ht="14.25" customHeight="1" x14ac:dyDescent="0.3"/>
    <row r="520" s="4" customFormat="1" ht="14.25" customHeight="1" x14ac:dyDescent="0.3"/>
    <row r="521" s="4" customFormat="1" ht="14.25" customHeight="1" x14ac:dyDescent="0.3"/>
    <row r="522" s="4" customFormat="1" ht="14.25" customHeight="1" x14ac:dyDescent="0.3"/>
    <row r="523" s="4" customFormat="1" ht="14.25" customHeight="1" x14ac:dyDescent="0.3"/>
    <row r="524" s="4" customFormat="1" ht="14.25" customHeight="1" x14ac:dyDescent="0.3"/>
    <row r="525" s="4" customFormat="1" ht="14.25" customHeight="1" x14ac:dyDescent="0.3"/>
    <row r="526" s="4" customFormat="1" ht="14.25" customHeight="1" x14ac:dyDescent="0.3"/>
    <row r="527" s="4" customFormat="1" ht="14.25" customHeight="1" x14ac:dyDescent="0.3"/>
    <row r="528" s="4" customFormat="1" ht="14.25" customHeight="1" x14ac:dyDescent="0.3"/>
    <row r="529" s="4" customFormat="1" ht="14.25" customHeight="1" x14ac:dyDescent="0.3"/>
    <row r="530" s="4" customFormat="1" ht="14.25" customHeight="1" x14ac:dyDescent="0.3"/>
    <row r="531" s="4" customFormat="1" ht="14.25" customHeight="1" x14ac:dyDescent="0.3"/>
    <row r="532" s="4" customFormat="1" ht="14.25" customHeight="1" x14ac:dyDescent="0.3"/>
    <row r="533" s="4" customFormat="1" ht="14.25" customHeight="1" x14ac:dyDescent="0.3"/>
    <row r="534" s="4" customFormat="1" ht="14.25" customHeight="1" x14ac:dyDescent="0.3"/>
    <row r="535" s="4" customFormat="1" ht="14.25" customHeight="1" x14ac:dyDescent="0.3"/>
    <row r="536" s="4" customFormat="1" ht="14.25" customHeight="1" x14ac:dyDescent="0.3"/>
    <row r="537" s="4" customFormat="1" ht="14.25" customHeight="1" x14ac:dyDescent="0.3"/>
    <row r="538" s="4" customFormat="1" ht="14.25" customHeight="1" x14ac:dyDescent="0.3"/>
    <row r="539" s="4" customFormat="1" ht="14.25" customHeight="1" x14ac:dyDescent="0.3"/>
    <row r="540" s="4" customFormat="1" ht="14.25" customHeight="1" x14ac:dyDescent="0.3"/>
    <row r="541" s="4" customFormat="1" ht="14.25" customHeight="1" x14ac:dyDescent="0.3"/>
    <row r="542" s="4" customFormat="1" ht="14.25" customHeight="1" x14ac:dyDescent="0.3"/>
    <row r="543" s="4" customFormat="1" ht="14.25" customHeight="1" x14ac:dyDescent="0.3"/>
    <row r="544" s="4" customFormat="1" ht="14.25" customHeight="1" x14ac:dyDescent="0.3"/>
    <row r="545" s="4" customFormat="1" ht="14.25" customHeight="1" x14ac:dyDescent="0.3"/>
    <row r="546" s="4" customFormat="1" ht="14.25" customHeight="1" x14ac:dyDescent="0.3"/>
    <row r="547" s="4" customFormat="1" ht="14.25" customHeight="1" x14ac:dyDescent="0.3"/>
    <row r="548" s="4" customFormat="1" ht="14.25" customHeight="1" x14ac:dyDescent="0.3"/>
    <row r="549" s="4" customFormat="1" ht="14.25" customHeight="1" x14ac:dyDescent="0.3"/>
    <row r="550" s="4" customFormat="1" ht="14.25" customHeight="1" x14ac:dyDescent="0.3"/>
    <row r="551" s="4" customFormat="1" ht="14.25" customHeight="1" x14ac:dyDescent="0.3"/>
    <row r="552" s="4" customFormat="1" ht="14.25" customHeight="1" x14ac:dyDescent="0.3"/>
    <row r="553" s="4" customFormat="1" ht="14.25" customHeight="1" x14ac:dyDescent="0.3"/>
    <row r="554" s="4" customFormat="1" ht="14.25" customHeight="1" x14ac:dyDescent="0.3"/>
    <row r="555" s="4" customFormat="1" ht="14.25" customHeight="1" x14ac:dyDescent="0.3"/>
    <row r="556" s="4" customFormat="1" ht="14.25" customHeight="1" x14ac:dyDescent="0.3"/>
    <row r="557" s="4" customFormat="1" ht="14.25" customHeight="1" x14ac:dyDescent="0.3"/>
    <row r="558" s="4" customFormat="1" ht="14.25" customHeight="1" x14ac:dyDescent="0.3"/>
    <row r="559" s="4" customFormat="1" ht="14.25" customHeight="1" x14ac:dyDescent="0.3"/>
    <row r="560" s="4" customFormat="1" ht="14.25" customHeight="1" x14ac:dyDescent="0.3"/>
    <row r="561" s="4" customFormat="1" ht="14.25" customHeight="1" x14ac:dyDescent="0.3"/>
    <row r="562" s="4" customFormat="1" ht="14.25" customHeight="1" x14ac:dyDescent="0.3"/>
    <row r="563" s="4" customFormat="1" ht="14.25" customHeight="1" x14ac:dyDescent="0.3"/>
    <row r="564" s="4" customFormat="1" ht="14.25" customHeight="1" x14ac:dyDescent="0.3"/>
    <row r="565" s="4" customFormat="1" ht="14.25" customHeight="1" x14ac:dyDescent="0.3"/>
    <row r="566" s="4" customFormat="1" ht="14.25" customHeight="1" x14ac:dyDescent="0.3"/>
    <row r="567" s="4" customFormat="1" ht="14.25" customHeight="1" x14ac:dyDescent="0.3"/>
    <row r="568" s="4" customFormat="1" ht="14.25" customHeight="1" x14ac:dyDescent="0.3"/>
    <row r="569" s="4" customFormat="1" ht="14.25" customHeight="1" x14ac:dyDescent="0.3"/>
    <row r="570" s="4" customFormat="1" ht="14.25" customHeight="1" x14ac:dyDescent="0.3"/>
    <row r="571" s="4" customFormat="1" ht="14.25" customHeight="1" x14ac:dyDescent="0.3"/>
    <row r="572" s="4" customFormat="1" ht="14.25" customHeight="1" x14ac:dyDescent="0.3"/>
    <row r="573" s="4" customFormat="1" ht="14.25" customHeight="1" x14ac:dyDescent="0.3"/>
    <row r="574" s="4" customFormat="1" ht="14.25" customHeight="1" x14ac:dyDescent="0.3"/>
    <row r="575" s="4" customFormat="1" ht="14.25" customHeight="1" x14ac:dyDescent="0.3"/>
    <row r="576" s="4" customFormat="1" ht="14.25" customHeight="1" x14ac:dyDescent="0.3"/>
    <row r="577" s="4" customFormat="1" ht="14.25" customHeight="1" x14ac:dyDescent="0.3"/>
    <row r="578" s="4" customFormat="1" ht="14.25" customHeight="1" x14ac:dyDescent="0.3"/>
    <row r="579" s="4" customFormat="1" ht="14.25" customHeight="1" x14ac:dyDescent="0.3"/>
    <row r="580" s="4" customFormat="1" ht="14.25" customHeight="1" x14ac:dyDescent="0.3"/>
    <row r="581" s="4" customFormat="1" ht="14.25" customHeight="1" x14ac:dyDescent="0.3"/>
    <row r="582" s="4" customFormat="1" ht="14.25" customHeight="1" x14ac:dyDescent="0.3"/>
    <row r="583" s="4" customFormat="1" ht="14.25" customHeight="1" x14ac:dyDescent="0.3"/>
    <row r="584" s="4" customFormat="1" ht="14.25" customHeight="1" x14ac:dyDescent="0.3"/>
    <row r="585" s="4" customFormat="1" ht="14.25" customHeight="1" x14ac:dyDescent="0.3"/>
    <row r="586" s="4" customFormat="1" ht="14.25" customHeight="1" x14ac:dyDescent="0.3"/>
    <row r="587" s="4" customFormat="1" ht="14.25" customHeight="1" x14ac:dyDescent="0.3"/>
    <row r="588" s="4" customFormat="1" ht="14.25" customHeight="1" x14ac:dyDescent="0.3"/>
    <row r="589" s="4" customFormat="1" ht="14.25" customHeight="1" x14ac:dyDescent="0.3"/>
    <row r="590" s="4" customFormat="1" ht="14.25" customHeight="1" x14ac:dyDescent="0.3"/>
    <row r="591" s="4" customFormat="1" ht="14.25" customHeight="1" x14ac:dyDescent="0.3"/>
    <row r="592" s="4" customFormat="1" ht="14.25" customHeight="1" x14ac:dyDescent="0.3"/>
    <row r="593" s="4" customFormat="1" ht="14.25" customHeight="1" x14ac:dyDescent="0.3"/>
    <row r="594" s="4" customFormat="1" ht="14.25" customHeight="1" x14ac:dyDescent="0.3"/>
    <row r="595" s="4" customFormat="1" ht="14.25" customHeight="1" x14ac:dyDescent="0.3"/>
    <row r="596" s="4" customFormat="1" ht="14.25" customHeight="1" x14ac:dyDescent="0.3"/>
    <row r="597" s="4" customFormat="1" ht="14.25" customHeight="1" x14ac:dyDescent="0.3"/>
    <row r="598" s="4" customFormat="1" ht="14.25" customHeight="1" x14ac:dyDescent="0.3"/>
    <row r="599" s="4" customFormat="1" ht="14.25" customHeight="1" x14ac:dyDescent="0.3"/>
    <row r="600" s="4" customFormat="1" ht="14.25" customHeight="1" x14ac:dyDescent="0.3"/>
    <row r="601" s="4" customFormat="1" ht="14.25" customHeight="1" x14ac:dyDescent="0.3"/>
    <row r="602" s="4" customFormat="1" ht="14.25" customHeight="1" x14ac:dyDescent="0.3"/>
    <row r="603" s="4" customFormat="1" ht="14.25" customHeight="1" x14ac:dyDescent="0.3"/>
    <row r="604" s="4" customFormat="1" ht="14.25" customHeight="1" x14ac:dyDescent="0.3"/>
    <row r="605" s="4" customFormat="1" ht="14.25" customHeight="1" x14ac:dyDescent="0.3"/>
    <row r="606" s="4" customFormat="1" ht="14.25" customHeight="1" x14ac:dyDescent="0.3"/>
    <row r="607" s="4" customFormat="1" ht="14.25" customHeight="1" x14ac:dyDescent="0.3"/>
    <row r="608" s="4" customFormat="1" ht="14.25" customHeight="1" x14ac:dyDescent="0.3"/>
    <row r="609" s="4" customFormat="1" ht="14.25" customHeight="1" x14ac:dyDescent="0.3"/>
    <row r="610" s="4" customFormat="1" ht="14.25" customHeight="1" x14ac:dyDescent="0.3"/>
    <row r="611" s="4" customFormat="1" ht="14.25" customHeight="1" x14ac:dyDescent="0.3"/>
    <row r="612" s="4" customFormat="1" ht="14.25" customHeight="1" x14ac:dyDescent="0.3"/>
    <row r="613" s="4" customFormat="1" ht="14.25" customHeight="1" x14ac:dyDescent="0.3"/>
    <row r="614" s="4" customFormat="1" ht="14.25" customHeight="1" x14ac:dyDescent="0.3"/>
    <row r="615" s="4" customFormat="1" ht="14.25" customHeight="1" x14ac:dyDescent="0.3"/>
    <row r="616" s="4" customFormat="1" ht="14.25" customHeight="1" x14ac:dyDescent="0.3"/>
    <row r="617" s="4" customFormat="1" ht="14.25" customHeight="1" x14ac:dyDescent="0.3"/>
    <row r="618" s="4" customFormat="1" ht="14.25" customHeight="1" x14ac:dyDescent="0.3"/>
    <row r="619" s="4" customFormat="1" ht="14.25" customHeight="1" x14ac:dyDescent="0.3"/>
    <row r="620" s="4" customFormat="1" ht="14.25" customHeight="1" x14ac:dyDescent="0.3"/>
    <row r="621" s="4" customFormat="1" ht="14.25" customHeight="1" x14ac:dyDescent="0.3"/>
    <row r="622" s="4" customFormat="1" ht="14.25" customHeight="1" x14ac:dyDescent="0.3"/>
    <row r="623" s="4" customFormat="1" ht="14.25" customHeight="1" x14ac:dyDescent="0.3"/>
    <row r="624" s="4" customFormat="1" ht="14.25" customHeight="1" x14ac:dyDescent="0.3"/>
    <row r="625" s="4" customFormat="1" ht="14.25" customHeight="1" x14ac:dyDescent="0.3"/>
    <row r="626" s="4" customFormat="1" ht="14.25" customHeight="1" x14ac:dyDescent="0.3"/>
    <row r="627" s="4" customFormat="1" ht="14.25" customHeight="1" x14ac:dyDescent="0.3"/>
    <row r="628" s="4" customFormat="1" ht="14.25" customHeight="1" x14ac:dyDescent="0.3"/>
    <row r="629" s="4" customFormat="1" ht="14.25" customHeight="1" x14ac:dyDescent="0.3"/>
    <row r="630" s="4" customFormat="1" ht="14.25" customHeight="1" x14ac:dyDescent="0.3"/>
    <row r="631" s="4" customFormat="1" ht="14.25" customHeight="1" x14ac:dyDescent="0.3"/>
    <row r="632" s="4" customFormat="1" ht="14.25" customHeight="1" x14ac:dyDescent="0.3"/>
    <row r="633" s="4" customFormat="1" ht="14.25" customHeight="1" x14ac:dyDescent="0.3"/>
    <row r="634" s="4" customFormat="1" ht="14.25" customHeight="1" x14ac:dyDescent="0.3"/>
    <row r="635" s="4" customFormat="1" ht="14.25" customHeight="1" x14ac:dyDescent="0.3"/>
    <row r="636" s="4" customFormat="1" ht="14.25" customHeight="1" x14ac:dyDescent="0.3"/>
    <row r="637" s="4" customFormat="1" ht="14.25" customHeight="1" x14ac:dyDescent="0.3"/>
    <row r="638" s="4" customFormat="1" ht="14.25" customHeight="1" x14ac:dyDescent="0.3"/>
    <row r="639" s="4" customFormat="1" ht="14.25" customHeight="1" x14ac:dyDescent="0.3"/>
    <row r="640" s="4" customFormat="1" ht="14.25" customHeight="1" x14ac:dyDescent="0.3"/>
    <row r="641" s="4" customFormat="1" ht="14.25" customHeight="1" x14ac:dyDescent="0.3"/>
    <row r="642" s="4" customFormat="1" ht="14.25" customHeight="1" x14ac:dyDescent="0.3"/>
    <row r="643" s="4" customFormat="1" ht="14.25" customHeight="1" x14ac:dyDescent="0.3"/>
    <row r="644" s="4" customFormat="1" ht="14.25" customHeight="1" x14ac:dyDescent="0.3"/>
    <row r="645" s="4" customFormat="1" ht="14.25" customHeight="1" x14ac:dyDescent="0.3"/>
    <row r="646" s="4" customFormat="1" ht="14.25" customHeight="1" x14ac:dyDescent="0.3"/>
    <row r="647" s="4" customFormat="1" ht="14.25" customHeight="1" x14ac:dyDescent="0.3"/>
    <row r="648" s="4" customFormat="1" ht="14.25" customHeight="1" x14ac:dyDescent="0.3"/>
    <row r="649" s="4" customFormat="1" ht="14.25" customHeight="1" x14ac:dyDescent="0.3"/>
    <row r="650" s="4" customFormat="1" ht="14.25" customHeight="1" x14ac:dyDescent="0.3"/>
    <row r="651" s="4" customFormat="1" ht="14.25" customHeight="1" x14ac:dyDescent="0.3"/>
    <row r="652" s="4" customFormat="1" ht="14.25" customHeight="1" x14ac:dyDescent="0.3"/>
    <row r="653" s="4" customFormat="1" ht="14.25" customHeight="1" x14ac:dyDescent="0.3"/>
    <row r="654" s="4" customFormat="1" ht="14.25" customHeight="1" x14ac:dyDescent="0.3"/>
    <row r="655" s="4" customFormat="1" ht="14.25" customHeight="1" x14ac:dyDescent="0.3"/>
    <row r="656" s="4" customFormat="1" ht="14.25" customHeight="1" x14ac:dyDescent="0.3"/>
    <row r="657" s="4" customFormat="1" ht="14.25" customHeight="1" x14ac:dyDescent="0.3"/>
    <row r="658" s="4" customFormat="1" ht="14.25" customHeight="1" x14ac:dyDescent="0.3"/>
    <row r="659" s="4" customFormat="1" ht="14.25" customHeight="1" x14ac:dyDescent="0.3"/>
    <row r="660" s="4" customFormat="1" ht="14.25" customHeight="1" x14ac:dyDescent="0.3"/>
    <row r="661" s="4" customFormat="1" ht="14.25" customHeight="1" x14ac:dyDescent="0.3"/>
    <row r="662" s="4" customFormat="1" ht="14.25" customHeight="1" x14ac:dyDescent="0.3"/>
    <row r="663" s="4" customFormat="1" ht="14.25" customHeight="1" x14ac:dyDescent="0.3"/>
    <row r="664" s="4" customFormat="1" ht="14.25" customHeight="1" x14ac:dyDescent="0.3"/>
    <row r="665" s="4" customFormat="1" ht="14.25" customHeight="1" x14ac:dyDescent="0.3"/>
    <row r="666" s="4" customFormat="1" ht="14.25" customHeight="1" x14ac:dyDescent="0.3"/>
    <row r="667" s="4" customFormat="1" ht="14.25" customHeight="1" x14ac:dyDescent="0.3"/>
    <row r="668" s="4" customFormat="1" ht="14.25" customHeight="1" x14ac:dyDescent="0.3"/>
    <row r="669" s="4" customFormat="1" ht="14.25" customHeight="1" x14ac:dyDescent="0.3"/>
    <row r="670" s="4" customFormat="1" ht="14.25" customHeight="1" x14ac:dyDescent="0.3"/>
    <row r="671" s="4" customFormat="1" ht="14.25" customHeight="1" x14ac:dyDescent="0.3"/>
    <row r="672" s="4" customFormat="1" ht="14.25" customHeight="1" x14ac:dyDescent="0.3"/>
    <row r="673" s="4" customFormat="1" ht="14.25" customHeight="1" x14ac:dyDescent="0.3"/>
    <row r="674" s="4" customFormat="1" ht="14.25" customHeight="1" x14ac:dyDescent="0.3"/>
    <row r="675" s="4" customFormat="1" ht="14.25" customHeight="1" x14ac:dyDescent="0.3"/>
    <row r="676" s="4" customFormat="1" ht="14.25" customHeight="1" x14ac:dyDescent="0.3"/>
    <row r="677" s="4" customFormat="1" ht="14.25" customHeight="1" x14ac:dyDescent="0.3"/>
    <row r="678" s="4" customFormat="1" ht="14.25" customHeight="1" x14ac:dyDescent="0.3"/>
    <row r="679" s="4" customFormat="1" ht="14.25" customHeight="1" x14ac:dyDescent="0.3"/>
    <row r="680" s="4" customFormat="1" ht="14.25" customHeight="1" x14ac:dyDescent="0.3"/>
    <row r="681" s="4" customFormat="1" ht="14.25" customHeight="1" x14ac:dyDescent="0.3"/>
    <row r="682" s="4" customFormat="1" ht="14.25" customHeight="1" x14ac:dyDescent="0.3"/>
    <row r="683" s="4" customFormat="1" ht="14.25" customHeight="1" x14ac:dyDescent="0.3"/>
    <row r="684" s="4" customFormat="1" ht="14.25" customHeight="1" x14ac:dyDescent="0.3"/>
    <row r="685" s="4" customFormat="1" ht="14.25" customHeight="1" x14ac:dyDescent="0.3"/>
    <row r="686" s="4" customFormat="1" ht="14.25" customHeight="1" x14ac:dyDescent="0.3"/>
    <row r="687" s="4" customFormat="1" ht="14.25" customHeight="1" x14ac:dyDescent="0.3"/>
    <row r="688" s="4" customFormat="1" ht="14.25" customHeight="1" x14ac:dyDescent="0.3"/>
    <row r="689" s="4" customFormat="1" ht="14.25" customHeight="1" x14ac:dyDescent="0.3"/>
    <row r="690" s="4" customFormat="1" ht="14.25" customHeight="1" x14ac:dyDescent="0.3"/>
    <row r="691" s="4" customFormat="1" ht="14.25" customHeight="1" x14ac:dyDescent="0.3"/>
    <row r="692" s="4" customFormat="1" ht="14.25" customHeight="1" x14ac:dyDescent="0.3"/>
    <row r="693" s="4" customFormat="1" ht="14.25" customHeight="1" x14ac:dyDescent="0.3"/>
    <row r="694" s="4" customFormat="1" ht="14.25" customHeight="1" x14ac:dyDescent="0.3"/>
    <row r="695" s="4" customFormat="1" ht="14.25" customHeight="1" x14ac:dyDescent="0.3"/>
    <row r="696" s="4" customFormat="1" ht="14.25" customHeight="1" x14ac:dyDescent="0.3"/>
    <row r="697" s="4" customFormat="1" ht="14.25" customHeight="1" x14ac:dyDescent="0.3"/>
    <row r="698" s="4" customFormat="1" ht="14.25" customHeight="1" x14ac:dyDescent="0.3"/>
    <row r="699" s="4" customFormat="1" ht="14.25" customHeight="1" x14ac:dyDescent="0.3"/>
    <row r="700" s="4" customFormat="1" ht="14.25" customHeight="1" x14ac:dyDescent="0.3"/>
    <row r="701" s="4" customFormat="1" ht="14.25" customHeight="1" x14ac:dyDescent="0.3"/>
    <row r="702" s="4" customFormat="1" ht="14.25" customHeight="1" x14ac:dyDescent="0.3"/>
    <row r="703" s="4" customFormat="1" ht="14.25" customHeight="1" x14ac:dyDescent="0.3"/>
    <row r="704" s="4" customFormat="1" ht="14.25" customHeight="1" x14ac:dyDescent="0.3"/>
    <row r="705" s="4" customFormat="1" ht="14.25" customHeight="1" x14ac:dyDescent="0.3"/>
    <row r="706" s="4" customFormat="1" ht="14.25" customHeight="1" x14ac:dyDescent="0.3"/>
    <row r="707" s="4" customFormat="1" ht="14.25" customHeight="1" x14ac:dyDescent="0.3"/>
    <row r="708" s="4" customFormat="1" ht="14.25" customHeight="1" x14ac:dyDescent="0.3"/>
    <row r="709" s="4" customFormat="1" ht="14.25" customHeight="1" x14ac:dyDescent="0.3"/>
    <row r="710" s="4" customFormat="1" ht="14.25" customHeight="1" x14ac:dyDescent="0.3"/>
    <row r="711" s="4" customFormat="1" ht="14.25" customHeight="1" x14ac:dyDescent="0.3"/>
    <row r="712" s="4" customFormat="1" ht="14.25" customHeight="1" x14ac:dyDescent="0.3"/>
    <row r="713" s="4" customFormat="1" ht="14.25" customHeight="1" x14ac:dyDescent="0.3"/>
    <row r="714" s="4" customFormat="1" ht="14.25" customHeight="1" x14ac:dyDescent="0.3"/>
    <row r="715" s="4" customFormat="1" ht="14.25" customHeight="1" x14ac:dyDescent="0.3"/>
    <row r="716" s="4" customFormat="1" ht="14.25" customHeight="1" x14ac:dyDescent="0.3"/>
    <row r="717" s="4" customFormat="1" ht="14.25" customHeight="1" x14ac:dyDescent="0.3"/>
    <row r="718" s="4" customFormat="1" ht="14.25" customHeight="1" x14ac:dyDescent="0.3"/>
    <row r="719" s="4" customFormat="1" ht="14.25" customHeight="1" x14ac:dyDescent="0.3"/>
    <row r="720" s="4" customFormat="1" ht="14.25" customHeight="1" x14ac:dyDescent="0.3"/>
    <row r="721" s="4" customFormat="1" ht="14.25" customHeight="1" x14ac:dyDescent="0.3"/>
    <row r="722" s="4" customFormat="1" ht="14.25" customHeight="1" x14ac:dyDescent="0.3"/>
    <row r="723" s="4" customFormat="1" ht="14.25" customHeight="1" x14ac:dyDescent="0.3"/>
    <row r="724" s="4" customFormat="1" ht="14.25" customHeight="1" x14ac:dyDescent="0.3"/>
    <row r="725" s="4" customFormat="1" ht="14.25" customHeight="1" x14ac:dyDescent="0.3"/>
    <row r="726" s="4" customFormat="1" ht="14.25" customHeight="1" x14ac:dyDescent="0.3"/>
    <row r="727" s="4" customFormat="1" ht="14.25" customHeight="1" x14ac:dyDescent="0.3"/>
    <row r="728" s="4" customFormat="1" ht="14.25" customHeight="1" x14ac:dyDescent="0.3"/>
    <row r="729" s="4" customFormat="1" ht="14.25" customHeight="1" x14ac:dyDescent="0.3"/>
    <row r="730" s="4" customFormat="1" ht="14.25" customHeight="1" x14ac:dyDescent="0.3"/>
    <row r="731" s="4" customFormat="1" ht="14.25" customHeight="1" x14ac:dyDescent="0.3"/>
    <row r="732" s="4" customFormat="1" ht="14.25" customHeight="1" x14ac:dyDescent="0.3"/>
    <row r="733" s="4" customFormat="1" ht="14.25" customHeight="1" x14ac:dyDescent="0.3"/>
    <row r="734" s="4" customFormat="1" ht="14.25" customHeight="1" x14ac:dyDescent="0.3"/>
    <row r="735" s="4" customFormat="1" ht="14.25" customHeight="1" x14ac:dyDescent="0.3"/>
    <row r="736" s="4" customFormat="1" ht="14.25" customHeight="1" x14ac:dyDescent="0.3"/>
    <row r="737" s="4" customFormat="1" ht="14.25" customHeight="1" x14ac:dyDescent="0.3"/>
    <row r="738" s="4" customFormat="1" ht="14.25" customHeight="1" x14ac:dyDescent="0.3"/>
    <row r="739" s="4" customFormat="1" ht="14.25" customHeight="1" x14ac:dyDescent="0.3"/>
    <row r="740" s="4" customFormat="1" ht="14.25" customHeight="1" x14ac:dyDescent="0.3"/>
    <row r="741" s="4" customFormat="1" ht="14.25" customHeight="1" x14ac:dyDescent="0.3"/>
    <row r="742" s="4" customFormat="1" ht="14.25" customHeight="1" x14ac:dyDescent="0.3"/>
    <row r="743" s="4" customFormat="1" ht="14.25" customHeight="1" x14ac:dyDescent="0.3"/>
    <row r="744" s="4" customFormat="1" ht="14.25" customHeight="1" x14ac:dyDescent="0.3"/>
    <row r="745" s="4" customFormat="1" ht="14.25" customHeight="1" x14ac:dyDescent="0.3"/>
    <row r="746" s="4" customFormat="1" ht="14.25" customHeight="1" x14ac:dyDescent="0.3"/>
    <row r="747" s="4" customFormat="1" ht="14.25" customHeight="1" x14ac:dyDescent="0.3"/>
    <row r="748" s="4" customFormat="1" ht="14.25" customHeight="1" x14ac:dyDescent="0.3"/>
    <row r="749" s="4" customFormat="1" ht="14.25" customHeight="1" x14ac:dyDescent="0.3"/>
    <row r="750" s="4" customFormat="1" ht="14.25" customHeight="1" x14ac:dyDescent="0.3"/>
    <row r="751" s="4" customFormat="1" ht="14.25" customHeight="1" x14ac:dyDescent="0.3"/>
    <row r="752" s="4" customFormat="1" ht="14.25" customHeight="1" x14ac:dyDescent="0.3"/>
    <row r="753" s="4" customFormat="1" ht="14.25" customHeight="1" x14ac:dyDescent="0.3"/>
    <row r="754" s="4" customFormat="1" ht="14.25" customHeight="1" x14ac:dyDescent="0.3"/>
    <row r="755" s="4" customFormat="1" ht="14.25" customHeight="1" x14ac:dyDescent="0.3"/>
    <row r="756" s="4" customFormat="1" ht="14.25" customHeight="1" x14ac:dyDescent="0.3"/>
    <row r="757" s="4" customFormat="1" ht="14.25" customHeight="1" x14ac:dyDescent="0.3"/>
    <row r="758" s="4" customFormat="1" ht="14.25" customHeight="1" x14ac:dyDescent="0.3"/>
    <row r="759" s="4" customFormat="1" ht="14.25" customHeight="1" x14ac:dyDescent="0.3"/>
    <row r="760" s="4" customFormat="1" ht="14.25" customHeight="1" x14ac:dyDescent="0.3"/>
    <row r="761" s="4" customFormat="1" ht="14.25" customHeight="1" x14ac:dyDescent="0.3"/>
    <row r="762" s="4" customFormat="1" ht="14.25" customHeight="1" x14ac:dyDescent="0.3"/>
    <row r="763" s="4" customFormat="1" ht="14.25" customHeight="1" x14ac:dyDescent="0.3"/>
    <row r="764" s="4" customFormat="1" ht="14.25" customHeight="1" x14ac:dyDescent="0.3"/>
    <row r="765" s="4" customFormat="1" ht="14.25" customHeight="1" x14ac:dyDescent="0.3"/>
    <row r="766" s="4" customFormat="1" ht="14.25" customHeight="1" x14ac:dyDescent="0.3"/>
    <row r="767" s="4" customFormat="1" ht="14.25" customHeight="1" x14ac:dyDescent="0.3"/>
    <row r="768" s="4" customFormat="1" ht="14.25" customHeight="1" x14ac:dyDescent="0.3"/>
    <row r="769" s="4" customFormat="1" ht="14.25" customHeight="1" x14ac:dyDescent="0.3"/>
    <row r="770" s="4" customFormat="1" ht="14.25" customHeight="1" x14ac:dyDescent="0.3"/>
    <row r="771" s="4" customFormat="1" ht="14.25" customHeight="1" x14ac:dyDescent="0.3"/>
    <row r="772" s="4" customFormat="1" ht="14.25" customHeight="1" x14ac:dyDescent="0.3"/>
    <row r="773" s="4" customFormat="1" ht="14.25" customHeight="1" x14ac:dyDescent="0.3"/>
    <row r="774" s="4" customFormat="1" ht="14.25" customHeight="1" x14ac:dyDescent="0.3"/>
    <row r="775" s="4" customFormat="1" ht="14.25" customHeight="1" x14ac:dyDescent="0.3"/>
    <row r="776" s="4" customFormat="1" ht="14.25" customHeight="1" x14ac:dyDescent="0.3"/>
    <row r="777" s="4" customFormat="1" ht="14.25" customHeight="1" x14ac:dyDescent="0.3"/>
    <row r="778" s="4" customFormat="1" ht="14.25" customHeight="1" x14ac:dyDescent="0.3"/>
    <row r="779" s="4" customFormat="1" ht="14.25" customHeight="1" x14ac:dyDescent="0.3"/>
    <row r="780" s="4" customFormat="1" ht="14.25" customHeight="1" x14ac:dyDescent="0.3"/>
    <row r="781" s="4" customFormat="1" ht="14.25" customHeight="1" x14ac:dyDescent="0.3"/>
    <row r="782" s="4" customFormat="1" ht="14.25" customHeight="1" x14ac:dyDescent="0.3"/>
    <row r="783" s="4" customFormat="1" ht="14.25" customHeight="1" x14ac:dyDescent="0.3"/>
    <row r="784" s="4" customFormat="1" ht="14.25" customHeight="1" x14ac:dyDescent="0.3"/>
    <row r="785" s="4" customFormat="1" ht="14.25" customHeight="1" x14ac:dyDescent="0.3"/>
    <row r="786" s="4" customFormat="1" ht="14.25" customHeight="1" x14ac:dyDescent="0.3"/>
    <row r="787" s="4" customFormat="1" ht="14.25" customHeight="1" x14ac:dyDescent="0.3"/>
    <row r="788" s="4" customFormat="1" ht="14.25" customHeight="1" x14ac:dyDescent="0.3"/>
    <row r="789" s="4" customFormat="1" ht="14.25" customHeight="1" x14ac:dyDescent="0.3"/>
    <row r="790" s="4" customFormat="1" ht="14.25" customHeight="1" x14ac:dyDescent="0.3"/>
    <row r="791" s="4" customFormat="1" ht="14.25" customHeight="1" x14ac:dyDescent="0.3"/>
    <row r="792" s="4" customFormat="1" ht="14.25" customHeight="1" x14ac:dyDescent="0.3"/>
    <row r="793" s="4" customFormat="1" ht="14.25" customHeight="1" x14ac:dyDescent="0.3"/>
    <row r="794" s="4" customFormat="1" ht="14.25" customHeight="1" x14ac:dyDescent="0.3"/>
    <row r="795" s="4" customFormat="1" ht="14.25" customHeight="1" x14ac:dyDescent="0.3"/>
    <row r="796" s="4" customFormat="1" ht="14.25" customHeight="1" x14ac:dyDescent="0.3"/>
    <row r="797" s="4" customFormat="1" ht="14.25" customHeight="1" x14ac:dyDescent="0.3"/>
    <row r="798" s="4" customFormat="1" ht="14.25" customHeight="1" x14ac:dyDescent="0.3"/>
    <row r="799" s="4" customFormat="1" ht="14.25" customHeight="1" x14ac:dyDescent="0.3"/>
    <row r="800" s="4" customFormat="1" ht="14.25" customHeight="1" x14ac:dyDescent="0.3"/>
    <row r="801" s="4" customFormat="1" ht="14.25" customHeight="1" x14ac:dyDescent="0.3"/>
    <row r="802" s="4" customFormat="1" ht="14.25" customHeight="1" x14ac:dyDescent="0.3"/>
    <row r="803" s="4" customFormat="1" ht="14.25" customHeight="1" x14ac:dyDescent="0.3"/>
    <row r="804" s="4" customFormat="1" ht="14.25" customHeight="1" x14ac:dyDescent="0.3"/>
    <row r="805" s="4" customFormat="1" ht="14.25" customHeight="1" x14ac:dyDescent="0.3"/>
    <row r="806" s="4" customFormat="1" ht="14.25" customHeight="1" x14ac:dyDescent="0.3"/>
    <row r="807" s="4" customFormat="1" ht="14.25" customHeight="1" x14ac:dyDescent="0.3"/>
    <row r="808" s="4" customFormat="1" ht="14.25" customHeight="1" x14ac:dyDescent="0.3"/>
    <row r="809" s="4" customFormat="1" ht="14.25" customHeight="1" x14ac:dyDescent="0.3"/>
    <row r="810" s="4" customFormat="1" ht="14.25" customHeight="1" x14ac:dyDescent="0.3"/>
    <row r="811" s="4" customFormat="1" ht="14.25" customHeight="1" x14ac:dyDescent="0.3"/>
    <row r="812" s="4" customFormat="1" ht="14.25" customHeight="1" x14ac:dyDescent="0.3"/>
    <row r="813" s="4" customFormat="1" ht="14.25" customHeight="1" x14ac:dyDescent="0.3"/>
    <row r="814" s="4" customFormat="1" ht="14.25" customHeight="1" x14ac:dyDescent="0.3"/>
    <row r="815" s="4" customFormat="1" ht="14.25" customHeight="1" x14ac:dyDescent="0.3"/>
    <row r="816" s="4" customFormat="1" ht="14.25" customHeight="1" x14ac:dyDescent="0.3"/>
    <row r="817" s="4" customFormat="1" ht="14.25" customHeight="1" x14ac:dyDescent="0.3"/>
    <row r="818" s="4" customFormat="1" ht="14.25" customHeight="1" x14ac:dyDescent="0.3"/>
    <row r="819" s="4" customFormat="1" ht="14.25" customHeight="1" x14ac:dyDescent="0.3"/>
    <row r="820" s="4" customFormat="1" ht="14.25" customHeight="1" x14ac:dyDescent="0.3"/>
    <row r="821" s="4" customFormat="1" ht="14.25" customHeight="1" x14ac:dyDescent="0.3"/>
    <row r="822" s="4" customFormat="1" ht="14.25" customHeight="1" x14ac:dyDescent="0.3"/>
    <row r="823" s="4" customFormat="1" ht="14.25" customHeight="1" x14ac:dyDescent="0.3"/>
    <row r="824" s="4" customFormat="1" ht="14.25" customHeight="1" x14ac:dyDescent="0.3"/>
    <row r="825" s="4" customFormat="1" ht="14.25" customHeight="1" x14ac:dyDescent="0.3"/>
    <row r="826" s="4" customFormat="1" ht="14.25" customHeight="1" x14ac:dyDescent="0.3"/>
    <row r="827" s="4" customFormat="1" ht="14.25" customHeight="1" x14ac:dyDescent="0.3"/>
    <row r="828" s="4" customFormat="1" ht="14.25" customHeight="1" x14ac:dyDescent="0.3"/>
    <row r="829" s="4" customFormat="1" ht="14.25" customHeight="1" x14ac:dyDescent="0.3"/>
    <row r="830" s="4" customFormat="1" ht="14.25" customHeight="1" x14ac:dyDescent="0.3"/>
    <row r="831" s="4" customFormat="1" ht="14.25" customHeight="1" x14ac:dyDescent="0.3"/>
    <row r="832" s="4" customFormat="1" ht="14.25" customHeight="1" x14ac:dyDescent="0.3"/>
    <row r="833" s="4" customFormat="1" ht="14.25" customHeight="1" x14ac:dyDescent="0.3"/>
    <row r="834" s="4" customFormat="1" ht="14.25" customHeight="1" x14ac:dyDescent="0.3"/>
    <row r="835" s="4" customFormat="1" ht="14.25" customHeight="1" x14ac:dyDescent="0.3"/>
    <row r="836" s="4" customFormat="1" ht="14.25" customHeight="1" x14ac:dyDescent="0.3"/>
    <row r="837" s="4" customFormat="1" ht="14.25" customHeight="1" x14ac:dyDescent="0.3"/>
    <row r="838" s="4" customFormat="1" ht="14.25" customHeight="1" x14ac:dyDescent="0.3"/>
    <row r="839" s="4" customFormat="1" ht="14.25" customHeight="1" x14ac:dyDescent="0.3"/>
    <row r="840" s="4" customFormat="1" ht="14.25" customHeight="1" x14ac:dyDescent="0.3"/>
    <row r="841" s="4" customFormat="1" ht="14.25" customHeight="1" x14ac:dyDescent="0.3"/>
    <row r="842" s="4" customFormat="1" ht="14.25" customHeight="1" x14ac:dyDescent="0.3"/>
    <row r="843" s="4" customFormat="1" ht="14.25" customHeight="1" x14ac:dyDescent="0.3"/>
    <row r="844" s="4" customFormat="1" ht="14.25" customHeight="1" x14ac:dyDescent="0.3"/>
    <row r="845" s="4" customFormat="1" ht="14.25" customHeight="1" x14ac:dyDescent="0.3"/>
    <row r="846" s="4" customFormat="1" ht="14.25" customHeight="1" x14ac:dyDescent="0.3"/>
    <row r="847" s="4" customFormat="1" ht="14.25" customHeight="1" x14ac:dyDescent="0.3"/>
    <row r="848" s="4" customFormat="1" ht="14.25" customHeight="1" x14ac:dyDescent="0.3"/>
    <row r="849" s="4" customFormat="1" ht="14.25" customHeight="1" x14ac:dyDescent="0.3"/>
    <row r="850" s="4" customFormat="1" ht="14.25" customHeight="1" x14ac:dyDescent="0.3"/>
    <row r="851" s="4" customFormat="1" ht="14.25" customHeight="1" x14ac:dyDescent="0.3"/>
    <row r="852" s="4" customFormat="1" ht="14.25" customHeight="1" x14ac:dyDescent="0.3"/>
    <row r="853" s="4" customFormat="1" ht="14.25" customHeight="1" x14ac:dyDescent="0.3"/>
    <row r="854" s="4" customFormat="1" ht="14.25" customHeight="1" x14ac:dyDescent="0.3"/>
    <row r="855" s="4" customFormat="1" ht="14.25" customHeight="1" x14ac:dyDescent="0.3"/>
    <row r="856" s="4" customFormat="1" ht="14.25" customHeight="1" x14ac:dyDescent="0.3"/>
    <row r="857" s="4" customFormat="1" ht="14.25" customHeight="1" x14ac:dyDescent="0.3"/>
    <row r="858" s="4" customFormat="1" ht="14.25" customHeight="1" x14ac:dyDescent="0.3"/>
    <row r="859" s="4" customFormat="1" ht="14.25" customHeight="1" x14ac:dyDescent="0.3"/>
    <row r="860" s="4" customFormat="1" ht="14.25" customHeight="1" x14ac:dyDescent="0.3"/>
    <row r="861" s="4" customFormat="1" ht="14.25" customHeight="1" x14ac:dyDescent="0.3"/>
    <row r="862" s="4" customFormat="1" ht="14.25" customHeight="1" x14ac:dyDescent="0.3"/>
    <row r="863" s="4" customFormat="1" ht="14.25" customHeight="1" x14ac:dyDescent="0.3"/>
    <row r="864" s="4" customFormat="1" ht="14.25" customHeight="1" x14ac:dyDescent="0.3"/>
    <row r="865" s="4" customFormat="1" ht="14.25" customHeight="1" x14ac:dyDescent="0.3"/>
    <row r="866" s="4" customFormat="1" ht="14.25" customHeight="1" x14ac:dyDescent="0.3"/>
    <row r="867" s="4" customFormat="1" ht="14.25" customHeight="1" x14ac:dyDescent="0.3"/>
    <row r="868" s="4" customFormat="1" ht="14.25" customHeight="1" x14ac:dyDescent="0.3"/>
    <row r="869" s="4" customFormat="1" ht="14.25" customHeight="1" x14ac:dyDescent="0.3"/>
    <row r="870" s="4" customFormat="1" ht="14.25" customHeight="1" x14ac:dyDescent="0.3"/>
    <row r="871" s="4" customFormat="1" ht="14.25" customHeight="1" x14ac:dyDescent="0.3"/>
    <row r="872" s="4" customFormat="1" ht="14.25" customHeight="1" x14ac:dyDescent="0.3"/>
    <row r="873" s="4" customFormat="1" ht="14.25" customHeight="1" x14ac:dyDescent="0.3"/>
    <row r="874" s="4" customFormat="1" ht="14.25" customHeight="1" x14ac:dyDescent="0.3"/>
    <row r="875" s="4" customFormat="1" ht="14.25" customHeight="1" x14ac:dyDescent="0.3"/>
    <row r="876" s="4" customFormat="1" ht="14.25" customHeight="1" x14ac:dyDescent="0.3"/>
    <row r="877" s="4" customFormat="1" ht="14.25" customHeight="1" x14ac:dyDescent="0.3"/>
    <row r="878" s="4" customFormat="1" ht="14.25" customHeight="1" x14ac:dyDescent="0.3"/>
    <row r="879" s="4" customFormat="1" ht="14.25" customHeight="1" x14ac:dyDescent="0.3"/>
    <row r="880" s="4" customFormat="1" ht="14.25" customHeight="1" x14ac:dyDescent="0.3"/>
    <row r="881" s="4" customFormat="1" ht="14.25" customHeight="1" x14ac:dyDescent="0.3"/>
    <row r="882" s="4" customFormat="1" ht="14.25" customHeight="1" x14ac:dyDescent="0.3"/>
    <row r="883" s="4" customFormat="1" ht="14.25" customHeight="1" x14ac:dyDescent="0.3"/>
    <row r="884" s="4" customFormat="1" ht="14.25" customHeight="1" x14ac:dyDescent="0.3"/>
    <row r="885" s="4" customFormat="1" ht="14.25" customHeight="1" x14ac:dyDescent="0.3"/>
    <row r="886" s="4" customFormat="1" ht="14.25" customHeight="1" x14ac:dyDescent="0.3"/>
    <row r="887" s="4" customFormat="1" ht="14.25" customHeight="1" x14ac:dyDescent="0.3"/>
    <row r="888" s="4" customFormat="1" ht="14.25" customHeight="1" x14ac:dyDescent="0.3"/>
    <row r="889" s="4" customFormat="1" ht="14.25" customHeight="1" x14ac:dyDescent="0.3"/>
    <row r="890" s="4" customFormat="1" ht="14.25" customHeight="1" x14ac:dyDescent="0.3"/>
    <row r="891" s="4" customFormat="1" ht="14.25" customHeight="1" x14ac:dyDescent="0.3"/>
    <row r="892" s="4" customFormat="1" ht="14.25" customHeight="1" x14ac:dyDescent="0.3"/>
    <row r="893" s="4" customFormat="1" ht="14.25" customHeight="1" x14ac:dyDescent="0.3"/>
    <row r="894" s="4" customFormat="1" ht="14.25" customHeight="1" x14ac:dyDescent="0.3"/>
    <row r="895" s="4" customFormat="1" ht="14.25" customHeight="1" x14ac:dyDescent="0.3"/>
    <row r="896" s="4" customFormat="1" ht="14.25" customHeight="1" x14ac:dyDescent="0.3"/>
    <row r="897" s="4" customFormat="1" ht="14.25" customHeight="1" x14ac:dyDescent="0.3"/>
    <row r="898" s="4" customFormat="1" ht="14.25" customHeight="1" x14ac:dyDescent="0.3"/>
    <row r="899" s="4" customFormat="1" ht="14.25" customHeight="1" x14ac:dyDescent="0.3"/>
    <row r="900" s="4" customFormat="1" ht="14.25" customHeight="1" x14ac:dyDescent="0.3"/>
    <row r="901" s="4" customFormat="1" ht="14.25" customHeight="1" x14ac:dyDescent="0.3"/>
    <row r="902" s="4" customFormat="1" ht="14.25" customHeight="1" x14ac:dyDescent="0.3"/>
    <row r="903" s="4" customFormat="1" ht="14.25" customHeight="1" x14ac:dyDescent="0.3"/>
    <row r="904" s="4" customFormat="1" ht="14.25" customHeight="1" x14ac:dyDescent="0.3"/>
    <row r="905" s="4" customFormat="1" ht="14.25" customHeight="1" x14ac:dyDescent="0.3"/>
    <row r="906" s="4" customFormat="1" ht="14.25" customHeight="1" x14ac:dyDescent="0.3"/>
    <row r="907" s="4" customFormat="1" ht="14.25" customHeight="1" x14ac:dyDescent="0.3"/>
    <row r="908" s="4" customFormat="1" ht="14.25" customHeight="1" x14ac:dyDescent="0.3"/>
    <row r="909" s="4" customFormat="1" ht="14.25" customHeight="1" x14ac:dyDescent="0.3"/>
    <row r="910" s="4" customFormat="1" ht="14.25" customHeight="1" x14ac:dyDescent="0.3"/>
    <row r="911" s="4" customFormat="1" ht="14.25" customHeight="1" x14ac:dyDescent="0.3"/>
    <row r="912" s="4" customFormat="1" ht="14.25" customHeight="1" x14ac:dyDescent="0.3"/>
    <row r="913" s="4" customFormat="1" ht="14.25" customHeight="1" x14ac:dyDescent="0.3"/>
    <row r="914" s="4" customFormat="1" ht="14.25" customHeight="1" x14ac:dyDescent="0.3"/>
    <row r="915" s="4" customFormat="1" ht="14.25" customHeight="1" x14ac:dyDescent="0.3"/>
    <row r="916" s="4" customFormat="1" ht="14.25" customHeight="1" x14ac:dyDescent="0.3"/>
    <row r="917" s="4" customFormat="1" ht="14.25" customHeight="1" x14ac:dyDescent="0.3"/>
    <row r="918" s="4" customFormat="1" ht="14.25" customHeight="1" x14ac:dyDescent="0.3"/>
    <row r="919" s="4" customFormat="1" ht="14.25" customHeight="1" x14ac:dyDescent="0.3"/>
    <row r="920" s="4" customFormat="1" ht="14.25" customHeight="1" x14ac:dyDescent="0.3"/>
    <row r="921" s="4" customFormat="1" ht="14.25" customHeight="1" x14ac:dyDescent="0.3"/>
    <row r="922" s="4" customFormat="1" ht="14.25" customHeight="1" x14ac:dyDescent="0.3"/>
    <row r="923" s="4" customFormat="1" ht="14.25" customHeight="1" x14ac:dyDescent="0.3"/>
    <row r="924" s="4" customFormat="1" ht="14.25" customHeight="1" x14ac:dyDescent="0.3"/>
    <row r="925" s="4" customFormat="1" ht="14.25" customHeight="1" x14ac:dyDescent="0.3"/>
    <row r="926" s="4" customFormat="1" ht="14.25" customHeight="1" x14ac:dyDescent="0.3"/>
    <row r="927" s="4" customFormat="1" ht="14.25" customHeight="1" x14ac:dyDescent="0.3"/>
    <row r="928" s="4" customFormat="1" ht="14.25" customHeight="1" x14ac:dyDescent="0.3"/>
    <row r="929" s="4" customFormat="1" ht="14.25" customHeight="1" x14ac:dyDescent="0.3"/>
    <row r="930" s="4" customFormat="1" ht="14.25" customHeight="1" x14ac:dyDescent="0.3"/>
    <row r="931" s="4" customFormat="1" ht="14.25" customHeight="1" x14ac:dyDescent="0.3"/>
    <row r="932" s="4" customFormat="1" ht="14.25" customHeight="1" x14ac:dyDescent="0.3"/>
    <row r="933" s="4" customFormat="1" ht="14.25" customHeight="1" x14ac:dyDescent="0.3"/>
    <row r="934" s="4" customFormat="1" ht="14.25" customHeight="1" x14ac:dyDescent="0.3"/>
    <row r="935" s="4" customFormat="1" ht="14.25" customHeight="1" x14ac:dyDescent="0.3"/>
    <row r="936" s="4" customFormat="1" ht="14.25" customHeight="1" x14ac:dyDescent="0.3"/>
    <row r="937" s="4" customFormat="1" ht="14.25" customHeight="1" x14ac:dyDescent="0.3"/>
    <row r="938" s="4" customFormat="1" ht="14.25" customHeight="1" x14ac:dyDescent="0.3"/>
    <row r="939" s="4" customFormat="1" ht="14.25" customHeight="1" x14ac:dyDescent="0.3"/>
    <row r="940" s="4" customFormat="1" ht="14.25" customHeight="1" x14ac:dyDescent="0.3"/>
    <row r="941" s="4" customFormat="1" ht="14.25" customHeight="1" x14ac:dyDescent="0.3"/>
    <row r="942" s="4" customFormat="1" ht="14.25" customHeight="1" x14ac:dyDescent="0.3"/>
    <row r="943" s="4" customFormat="1" ht="14.25" customHeight="1" x14ac:dyDescent="0.3"/>
    <row r="944" s="4" customFormat="1" ht="14.25" customHeight="1" x14ac:dyDescent="0.3"/>
    <row r="945" s="4" customFormat="1" ht="14.25" customHeight="1" x14ac:dyDescent="0.3"/>
    <row r="946" s="4" customFormat="1" ht="14.25" customHeight="1" x14ac:dyDescent="0.3"/>
    <row r="947" s="4" customFormat="1" ht="14.25" customHeight="1" x14ac:dyDescent="0.3"/>
    <row r="948" s="4" customFormat="1" ht="14.25" customHeight="1" x14ac:dyDescent="0.3"/>
    <row r="949" s="4" customFormat="1" ht="14.25" customHeight="1" x14ac:dyDescent="0.3"/>
    <row r="950" s="4" customFormat="1" ht="14.25" customHeight="1" x14ac:dyDescent="0.3"/>
    <row r="951" s="4" customFormat="1" ht="14.25" customHeight="1" x14ac:dyDescent="0.3"/>
    <row r="952" s="4" customFormat="1" ht="14.25" customHeight="1" x14ac:dyDescent="0.3"/>
    <row r="953" s="4" customFormat="1" ht="14.25" customHeight="1" x14ac:dyDescent="0.3"/>
    <row r="954" s="4" customFormat="1" ht="14.25" customHeight="1" x14ac:dyDescent="0.3"/>
    <row r="955" s="4" customFormat="1" ht="14.25" customHeight="1" x14ac:dyDescent="0.3"/>
    <row r="956" s="4" customFormat="1" ht="14.25" customHeight="1" x14ac:dyDescent="0.3"/>
    <row r="957" s="4" customFormat="1" ht="14.25" customHeight="1" x14ac:dyDescent="0.3"/>
    <row r="958" s="4" customFormat="1" ht="14.25" customHeight="1" x14ac:dyDescent="0.3"/>
    <row r="959" s="4" customFormat="1" ht="14.25" customHeight="1" x14ac:dyDescent="0.3"/>
    <row r="960" s="4" customFormat="1" ht="14.25" customHeight="1" x14ac:dyDescent="0.3"/>
    <row r="961" s="4" customFormat="1" ht="14.25" customHeight="1" x14ac:dyDescent="0.3"/>
    <row r="962" s="4" customFormat="1" ht="14.25" customHeight="1" x14ac:dyDescent="0.3"/>
    <row r="963" s="4" customFormat="1" ht="14.25" customHeight="1" x14ac:dyDescent="0.3"/>
    <row r="964" s="4" customFormat="1" ht="14.25" customHeight="1" x14ac:dyDescent="0.3"/>
    <row r="965" s="4" customFormat="1" ht="14.25" customHeight="1" x14ac:dyDescent="0.3"/>
    <row r="966" s="4" customFormat="1" ht="14.25" customHeight="1" x14ac:dyDescent="0.3"/>
    <row r="967" s="4" customFormat="1" ht="14.25" customHeight="1" x14ac:dyDescent="0.3"/>
    <row r="968" s="4" customFormat="1" ht="14.25" customHeight="1" x14ac:dyDescent="0.3"/>
    <row r="969" s="4" customFormat="1" ht="14.25" customHeight="1" x14ac:dyDescent="0.3"/>
    <row r="970" s="4" customFormat="1" ht="14.25" customHeight="1" x14ac:dyDescent="0.3"/>
    <row r="971" s="4" customFormat="1" ht="14.25" customHeight="1" x14ac:dyDescent="0.3"/>
    <row r="972" s="4" customFormat="1" ht="14.25" customHeight="1" x14ac:dyDescent="0.3"/>
    <row r="973" s="4" customFormat="1" ht="14.25" customHeight="1" x14ac:dyDescent="0.3"/>
    <row r="974" s="4" customFormat="1" ht="14.25" customHeight="1" x14ac:dyDescent="0.3"/>
    <row r="975" s="4" customFormat="1" ht="14.25" customHeight="1" x14ac:dyDescent="0.3"/>
    <row r="976" s="4" customFormat="1" ht="14.25" customHeight="1" x14ac:dyDescent="0.3"/>
    <row r="977" s="4" customFormat="1" ht="14.25" customHeight="1" x14ac:dyDescent="0.3"/>
    <row r="978" s="4" customFormat="1" x14ac:dyDescent="0.3"/>
    <row r="979" s="4" customFormat="1" x14ac:dyDescent="0.3"/>
    <row r="980" s="4" customFormat="1" x14ac:dyDescent="0.3"/>
    <row r="981" s="4" customFormat="1" x14ac:dyDescent="0.3"/>
    <row r="982" s="4" customFormat="1" x14ac:dyDescent="0.3"/>
    <row r="983" s="4" customFormat="1" x14ac:dyDescent="0.3"/>
    <row r="984" s="4" customFormat="1" x14ac:dyDescent="0.3"/>
    <row r="985" s="4" customFormat="1" x14ac:dyDescent="0.3"/>
    <row r="986" s="4" customFormat="1" x14ac:dyDescent="0.3"/>
    <row r="987" s="4" customFormat="1" x14ac:dyDescent="0.3"/>
    <row r="988" s="4" customFormat="1" x14ac:dyDescent="0.3"/>
    <row r="989" s="4" customFormat="1" x14ac:dyDescent="0.3"/>
    <row r="990" s="4" customFormat="1" x14ac:dyDescent="0.3"/>
    <row r="991" s="4" customFormat="1" x14ac:dyDescent="0.3"/>
    <row r="992" s="4" customFormat="1" x14ac:dyDescent="0.3"/>
    <row r="993" s="4" customFormat="1" x14ac:dyDescent="0.3"/>
  </sheetData>
  <mergeCells count="1">
    <mergeCell ref="D2:F2"/>
  </mergeCells>
  <conditionalFormatting sqref="H9:H12">
    <cfRule type="cellIs" dxfId="0" priority="1" operator="equal">
      <formula>"Fail"</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5D59-7A47-4D9C-B042-BA8C4DBE1F8E}">
  <dimension ref="A1:G21"/>
  <sheetViews>
    <sheetView zoomScaleNormal="100" workbookViewId="0">
      <selection activeCell="D22" sqref="D22"/>
    </sheetView>
  </sheetViews>
  <sheetFormatPr defaultColWidth="8.88671875" defaultRowHeight="13.8" x14ac:dyDescent="0.25"/>
  <cols>
    <col min="1" max="1" width="25.109375" style="33" bestFit="1" customWidth="1"/>
    <col min="2" max="2" width="56.44140625" style="33" customWidth="1"/>
    <col min="3" max="3" width="16.88671875" style="33" bestFit="1" customWidth="1"/>
    <col min="4" max="4" width="14.5546875" style="33" bestFit="1" customWidth="1"/>
    <col min="5" max="5" width="13.77734375" style="33" bestFit="1" customWidth="1"/>
    <col min="6" max="6" width="12.6640625" style="33" customWidth="1"/>
    <col min="7" max="7" width="9.44140625" style="33" bestFit="1" customWidth="1"/>
    <col min="8" max="16384" width="8.88671875" style="33"/>
  </cols>
  <sheetData>
    <row r="1" spans="1:7" ht="22.8" x14ac:dyDescent="0.4">
      <c r="A1" s="68" t="s">
        <v>268</v>
      </c>
      <c r="B1" s="69"/>
      <c r="C1" s="69"/>
      <c r="D1" s="69"/>
      <c r="E1" s="69"/>
      <c r="F1" s="69"/>
    </row>
    <row r="2" spans="1:7" ht="15.6" x14ac:dyDescent="0.3">
      <c r="A2" s="34" t="s">
        <v>269</v>
      </c>
      <c r="B2" s="35" t="s">
        <v>270</v>
      </c>
      <c r="C2" s="4"/>
      <c r="D2" s="4"/>
      <c r="E2" s="4"/>
      <c r="F2" s="4"/>
      <c r="G2" s="4"/>
    </row>
    <row r="3" spans="1:7" ht="15.6" x14ac:dyDescent="0.3">
      <c r="A3" s="4"/>
      <c r="B3" s="4"/>
      <c r="C3" s="4"/>
      <c r="D3" s="4"/>
      <c r="E3" s="4"/>
      <c r="F3" s="4"/>
      <c r="G3" s="4"/>
    </row>
    <row r="4" spans="1:7" ht="15.6" x14ac:dyDescent="0.3">
      <c r="A4" s="70" t="s">
        <v>271</v>
      </c>
      <c r="B4" s="37" t="s">
        <v>272</v>
      </c>
      <c r="C4" s="38"/>
      <c r="D4" s="38"/>
      <c r="E4" s="38"/>
      <c r="F4" s="41">
        <f>SUM('VPI-Mạnh'!H35,'SP-Mạnh'!H27,'P-Mạnh'!H23,'SPM-Mạnh'!H13,'MC-Mạnh'!H13,'MPR-Mạnh'!H12,'VFP-Mạnh'!H12,'MS-Mạnh'!H13)</f>
        <v>55</v>
      </c>
      <c r="G4" s="4"/>
    </row>
    <row r="5" spans="1:7" ht="15.6" x14ac:dyDescent="0.3">
      <c r="A5" s="71"/>
      <c r="B5" s="39" t="s">
        <v>273</v>
      </c>
      <c r="C5" s="38"/>
      <c r="D5" s="38"/>
      <c r="E5" s="38"/>
      <c r="F5" s="42">
        <f>SUM('VPI-Mạnh'!H36,'SP-Mạnh'!H28,'P-Mạnh'!H24,'SPM-Mạnh'!H14,'MC-Mạnh'!H14,'MPR-Mạnh'!H13,'VFP-Mạnh'!H13,'MS-Mạnh'!H14)</f>
        <v>21</v>
      </c>
      <c r="G5" s="4"/>
    </row>
    <row r="6" spans="1:7" ht="15.6" x14ac:dyDescent="0.3">
      <c r="A6" s="72"/>
      <c r="B6" s="73" t="s">
        <v>274</v>
      </c>
      <c r="C6" s="74"/>
      <c r="D6" s="74"/>
      <c r="E6" s="75"/>
      <c r="F6" s="36">
        <f>SUM(F4:F5)</f>
        <v>76</v>
      </c>
      <c r="G6" s="4"/>
    </row>
    <row r="7" spans="1:7" ht="15.6" x14ac:dyDescent="0.3">
      <c r="A7" s="76" t="s">
        <v>19</v>
      </c>
      <c r="B7" s="66"/>
      <c r="C7" s="66"/>
      <c r="D7" s="66"/>
      <c r="E7" s="66"/>
      <c r="F7" s="67"/>
      <c r="G7" s="44">
        <v>0</v>
      </c>
    </row>
    <row r="8" spans="1:7" ht="15.6" x14ac:dyDescent="0.3">
      <c r="A8" s="76" t="s">
        <v>275</v>
      </c>
      <c r="B8" s="66"/>
      <c r="C8" s="66"/>
      <c r="D8" s="66"/>
      <c r="E8" s="66"/>
      <c r="F8" s="67"/>
      <c r="G8" s="44">
        <v>0</v>
      </c>
    </row>
    <row r="9" spans="1:7" ht="15.6" x14ac:dyDescent="0.3">
      <c r="A9" s="76" t="s">
        <v>276</v>
      </c>
      <c r="B9" s="66"/>
      <c r="C9" s="66"/>
      <c r="D9" s="66"/>
      <c r="E9" s="66"/>
      <c r="F9" s="67"/>
      <c r="G9" s="44">
        <v>0</v>
      </c>
    </row>
    <row r="10" spans="1:7" ht="15.6" x14ac:dyDescent="0.3">
      <c r="A10" s="65" t="s">
        <v>277</v>
      </c>
      <c r="B10" s="66"/>
      <c r="C10" s="66"/>
      <c r="D10" s="66"/>
      <c r="E10" s="66"/>
      <c r="F10" s="67"/>
      <c r="G10" s="46">
        <f>F6</f>
        <v>76</v>
      </c>
    </row>
    <row r="11" spans="1:7" ht="15.6" x14ac:dyDescent="0.3">
      <c r="A11" s="65" t="s">
        <v>278</v>
      </c>
      <c r="B11" s="66"/>
      <c r="C11" s="66"/>
      <c r="D11" s="66"/>
      <c r="E11" s="66"/>
      <c r="F11" s="67"/>
      <c r="G11" s="50">
        <f>SUM(G7:G10)</f>
        <v>76</v>
      </c>
    </row>
    <row r="12" spans="1:7" ht="15.6" x14ac:dyDescent="0.3">
      <c r="A12" s="4"/>
      <c r="B12" s="4"/>
      <c r="C12" s="4"/>
      <c r="D12" s="4"/>
      <c r="E12" s="4"/>
      <c r="F12" s="4"/>
      <c r="G12" s="4"/>
    </row>
    <row r="13" spans="1:7" ht="15.6" x14ac:dyDescent="0.25">
      <c r="A13" s="40" t="s">
        <v>279</v>
      </c>
      <c r="B13" s="40" t="s">
        <v>9</v>
      </c>
      <c r="C13" s="43" t="s">
        <v>280</v>
      </c>
      <c r="D13" s="43" t="s">
        <v>281</v>
      </c>
      <c r="E13" s="47" t="s">
        <v>282</v>
      </c>
      <c r="F13" s="49" t="s">
        <v>283</v>
      </c>
      <c r="G13" s="43" t="s">
        <v>15</v>
      </c>
    </row>
    <row r="14" spans="1:7" ht="15.6" x14ac:dyDescent="0.3">
      <c r="A14" s="38" t="s">
        <v>286</v>
      </c>
      <c r="B14" s="38" t="s">
        <v>294</v>
      </c>
      <c r="C14" s="45">
        <f>('VPI-Mạnh'!H38-'VPI-Mạnh'!H37)/'VPI-Mạnh'!H38</f>
        <v>1</v>
      </c>
      <c r="D14" s="45">
        <f>'VPI-Mạnh'!H35/'VPI-Mạnh'!H38</f>
        <v>0.88461538461538458</v>
      </c>
      <c r="E14" s="48">
        <f>'VPI-Mạnh'!H36/'VPI-Mạnh'!H38</f>
        <v>0.11538461538461539</v>
      </c>
      <c r="F14" s="51" t="s">
        <v>284</v>
      </c>
      <c r="G14" s="56" t="s">
        <v>17</v>
      </c>
    </row>
    <row r="15" spans="1:7" ht="15.6" x14ac:dyDescent="0.3">
      <c r="A15" s="38" t="s">
        <v>287</v>
      </c>
      <c r="B15" s="38" t="s">
        <v>295</v>
      </c>
      <c r="C15" s="45">
        <f>('SP-Mạnh'!H30-'SP-Mạnh'!H29)/'SP-Mạnh'!H30</f>
        <v>1</v>
      </c>
      <c r="D15" s="45">
        <f>'SP-Mạnh'!H27/'SP-Mạnh'!H30</f>
        <v>0.72222222222222221</v>
      </c>
      <c r="E15" s="48">
        <f>'SP-Mạnh'!H28/'SP-Mạnh'!H30</f>
        <v>0.27777777777777779</v>
      </c>
      <c r="F15" s="51" t="s">
        <v>284</v>
      </c>
      <c r="G15" s="56" t="s">
        <v>17</v>
      </c>
    </row>
    <row r="16" spans="1:7" ht="15.6" x14ac:dyDescent="0.3">
      <c r="A16" s="38" t="s">
        <v>288</v>
      </c>
      <c r="B16" s="38" t="s">
        <v>296</v>
      </c>
      <c r="C16" s="45">
        <f>('P-Mạnh'!H26-'P-Mạnh'!H25)/'P-Mạnh'!H26</f>
        <v>1</v>
      </c>
      <c r="D16" s="45">
        <f>'P-Mạnh'!H23/'P-Mạnh'!H26</f>
        <v>0.5714285714285714</v>
      </c>
      <c r="E16" s="48">
        <f>'P-Mạnh'!H24/'P-Mạnh'!H26</f>
        <v>0.42857142857142855</v>
      </c>
      <c r="F16" s="52" t="s">
        <v>302</v>
      </c>
      <c r="G16" s="57" t="s">
        <v>305</v>
      </c>
    </row>
    <row r="17" spans="1:7" ht="15.6" x14ac:dyDescent="0.3">
      <c r="A17" s="38" t="s">
        <v>289</v>
      </c>
      <c r="B17" s="38" t="s">
        <v>297</v>
      </c>
      <c r="C17" s="45">
        <f>('SPM-Mạnh'!H16-'SPM-Mạnh'!H15)/'SPM-Mạnh'!H16</f>
        <v>1</v>
      </c>
      <c r="D17" s="45">
        <f>'SPM-Mạnh'!H13/'SPM-Mạnh'!H16</f>
        <v>0.5</v>
      </c>
      <c r="E17" s="48">
        <f>'SPM-Mạnh'!H14/'SPM-Mạnh'!H16</f>
        <v>0.5</v>
      </c>
      <c r="F17" s="52" t="s">
        <v>302</v>
      </c>
      <c r="G17" s="58" t="s">
        <v>18</v>
      </c>
    </row>
    <row r="18" spans="1:7" ht="15.6" x14ac:dyDescent="0.3">
      <c r="A18" s="38" t="s">
        <v>290</v>
      </c>
      <c r="B18" s="38" t="s">
        <v>298</v>
      </c>
      <c r="C18" s="45">
        <f>('MC-Mạnh'!H16-'MC-Mạnh'!H15)/'MC-Mạnh'!H16</f>
        <v>1</v>
      </c>
      <c r="D18" s="45">
        <f>'MC-Mạnh'!H13/'MC-Mạnh'!H16</f>
        <v>0.75</v>
      </c>
      <c r="E18" s="48">
        <f>'MC-Mạnh'!H14/'MC-Mạnh'!H16</f>
        <v>0.25</v>
      </c>
      <c r="F18" s="53" t="s">
        <v>285</v>
      </c>
      <c r="G18" s="56" t="s">
        <v>17</v>
      </c>
    </row>
    <row r="19" spans="1:7" ht="15.6" x14ac:dyDescent="0.3">
      <c r="A19" s="38" t="s">
        <v>291</v>
      </c>
      <c r="B19" s="38" t="s">
        <v>299</v>
      </c>
      <c r="C19" s="45">
        <f>('MPR-Mạnh'!H15-'MPR-Mạnh'!H14)/'MPR-Mạnh'!H15</f>
        <v>1</v>
      </c>
      <c r="D19" s="45">
        <f>'MPR-Mạnh'!H12/'MPR-Mạnh'!H15</f>
        <v>0.66666666666666663</v>
      </c>
      <c r="E19" s="48">
        <f>'MPR-Mạnh'!H13/'MPR-Mạnh'!H15</f>
        <v>0.33333333333333331</v>
      </c>
      <c r="F19" s="53" t="s">
        <v>285</v>
      </c>
      <c r="G19" s="57" t="s">
        <v>305</v>
      </c>
    </row>
    <row r="20" spans="1:7" ht="15.6" x14ac:dyDescent="0.3">
      <c r="A20" s="38" t="s">
        <v>292</v>
      </c>
      <c r="B20" s="38" t="s">
        <v>300</v>
      </c>
      <c r="C20" s="45">
        <f>('VFP-Mạnh'!H15-'VFP-Mạnh'!H14)/'VFP-Mạnh'!H15</f>
        <v>1</v>
      </c>
      <c r="D20" s="45">
        <f>'VFP-Mạnh'!H12/'VFP-Mạnh'!H15</f>
        <v>0.66666666666666663</v>
      </c>
      <c r="E20" s="48">
        <f>'VFP-Mạnh'!H13/'VFP-Mạnh'!H15</f>
        <v>0.33333333333333331</v>
      </c>
      <c r="F20" s="54" t="s">
        <v>303</v>
      </c>
      <c r="G20" s="58" t="s">
        <v>18</v>
      </c>
    </row>
    <row r="21" spans="1:7" ht="15.6" x14ac:dyDescent="0.3">
      <c r="A21" s="38" t="s">
        <v>293</v>
      </c>
      <c r="B21" s="38" t="s">
        <v>301</v>
      </c>
      <c r="C21" s="45">
        <f>('MS-Mạnh'!H16-'MS-Mạnh'!H15)/'MS-Mạnh'!H16</f>
        <v>1</v>
      </c>
      <c r="D21" s="45">
        <f>'MS-Mạnh'!H13/'MS-Mạnh'!H16</f>
        <v>0.5</v>
      </c>
      <c r="E21" s="48">
        <f>'MS-Mạnh'!H14/'MS-Mạnh'!H16</f>
        <v>0.5</v>
      </c>
      <c r="F21" s="55" t="s">
        <v>304</v>
      </c>
      <c r="G21" s="56" t="s">
        <v>17</v>
      </c>
    </row>
  </sheetData>
  <mergeCells count="8">
    <mergeCell ref="A10:F10"/>
    <mergeCell ref="A11:F11"/>
    <mergeCell ref="A1:F1"/>
    <mergeCell ref="A4:A6"/>
    <mergeCell ref="B6:E6"/>
    <mergeCell ref="A7:F7"/>
    <mergeCell ref="A8:F8"/>
    <mergeCell ref="A9: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VPI-Mạnh</vt:lpstr>
      <vt:lpstr>SP-Mạnh</vt:lpstr>
      <vt:lpstr>P-Mạnh</vt:lpstr>
      <vt:lpstr>SPM-Mạnh</vt:lpstr>
      <vt:lpstr>MC-Mạnh</vt:lpstr>
      <vt:lpstr>MPR-Mạnh</vt:lpstr>
      <vt:lpstr>VFP-Mạnh</vt:lpstr>
      <vt:lpstr>MS-Mạnh</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Mạnh</dc:creator>
  <cp:lastModifiedBy>Nguyễn Mạnh</cp:lastModifiedBy>
  <dcterms:created xsi:type="dcterms:W3CDTF">2025-11-15T04:01:39Z</dcterms:created>
  <dcterms:modified xsi:type="dcterms:W3CDTF">2025-11-23T05:00:10Z</dcterms:modified>
</cp:coreProperties>
</file>