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Group 4\Testcase\Đặng Đại Việt\"/>
    </mc:Choice>
  </mc:AlternateContent>
  <xr:revisionPtr revIDLastSave="0" documentId="13_ncr:1_{517A97BA-79EA-41FF-9CB5-F8CFC09AE613}" xr6:coauthVersionLast="47" xr6:coauthVersionMax="47" xr10:uidLastSave="{00000000-0000-0000-0000-000000000000}"/>
  <bookViews>
    <workbookView xWindow="-108" yWindow="-108" windowWidth="23256" windowHeight="12456" firstSheet="3" activeTab="6" xr2:uid="{00000000-000D-0000-FFFF-FFFF00000000}"/>
  </bookViews>
  <sheets>
    <sheet name="Viet-Register" sheetId="1" r:id="rId1"/>
    <sheet name="Viet-AdminLogout" sheetId="2" r:id="rId2"/>
    <sheet name="Viet-ViewRevenueReport" sheetId="3" r:id="rId3"/>
    <sheet name="Viet-AddProductToCart" sheetId="4" r:id="rId4"/>
    <sheet name="Viet-ViewOrderHistory" sheetId="5" r:id="rId5"/>
    <sheet name="Viet-ManageOrder" sheetId="6" r:id="rId6"/>
    <sheet name="Viet-Report"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7" l="1"/>
  <c r="E18" i="7" s="1"/>
  <c r="D19" i="7"/>
  <c r="E19" i="7" s="1"/>
  <c r="D17" i="7"/>
  <c r="E17" i="7" s="1"/>
  <c r="D16" i="7"/>
  <c r="E16" i="7" s="1"/>
  <c r="D15" i="7"/>
  <c r="E15" i="7" s="1"/>
  <c r="D14" i="7"/>
  <c r="E14" i="7" s="1"/>
  <c r="F5" i="7"/>
  <c r="G10" i="7" l="1"/>
  <c r="G11" i="7" s="1"/>
</calcChain>
</file>

<file path=xl/sharedStrings.xml><?xml version="1.0" encoding="utf-8"?>
<sst xmlns="http://schemas.openxmlformats.org/spreadsheetml/2006/main" count="883" uniqueCount="364">
  <si>
    <t>Project Name</t>
  </si>
  <si>
    <t xml:space="preserve">36FULLZ </t>
  </si>
  <si>
    <t>Module Name</t>
  </si>
  <si>
    <t>Created By</t>
  </si>
  <si>
    <t>Creation Date</t>
  </si>
  <si>
    <t>Reviewed By</t>
  </si>
  <si>
    <t>Reviewed Date</t>
  </si>
  <si>
    <t>Register</t>
  </si>
  <si>
    <t>Đặng Đại Việt</t>
  </si>
  <si>
    <t>Test Case ID</t>
  </si>
  <si>
    <t>Description</t>
  </si>
  <si>
    <t>Precondition</t>
  </si>
  <si>
    <t>Test Steps</t>
  </si>
  <si>
    <t>Test Data</t>
  </si>
  <si>
    <t>Expected Result</t>
  </si>
  <si>
    <t>Actual Result</t>
  </si>
  <si>
    <t>Status</t>
  </si>
  <si>
    <t>Comments(if any)</t>
  </si>
  <si>
    <t>Website is running</t>
  </si>
  <si>
    <t>Pass</t>
  </si>
  <si>
    <t>Fail</t>
  </si>
  <si>
    <t>TC01</t>
  </si>
  <si>
    <t>TC02</t>
  </si>
  <si>
    <t>TC03</t>
  </si>
  <si>
    <t>TC04</t>
  </si>
  <si>
    <t>TC05</t>
  </si>
  <si>
    <t>TC06</t>
  </si>
  <si>
    <t>TC07</t>
  </si>
  <si>
    <t>TC08</t>
  </si>
  <si>
    <t>TC09</t>
  </si>
  <si>
    <t>TC10</t>
  </si>
  <si>
    <t>TC11</t>
  </si>
  <si>
    <t>TC12</t>
  </si>
  <si>
    <t>TC13</t>
  </si>
  <si>
    <t>TC14</t>
  </si>
  <si>
    <t>Đăng ký thành công (Happy Path)</t>
  </si>
  <si>
    <t>Bỏ trống tất cả các trường bắt buộc</t>
  </si>
  <si>
    <t>Kiểm tra định dạng Email không hợp lệ</t>
  </si>
  <si>
    <t>Kiểm tra SĐT chứa ký tự chữ</t>
  </si>
  <si>
    <t>Kiểm tra biên độ dài SĐT (Min - 1)</t>
  </si>
  <si>
    <t>Kiểm tra biên độ dài SĐT (Valid)</t>
  </si>
  <si>
    <t>Kiểm tra biên độ dài SĐT (Max + 1)</t>
  </si>
  <si>
    <t>Kiểm tra biên độ dài Họ tên (Max SQL)</t>
  </si>
  <si>
    <t>Kiểm tra trùng lặp Email (Đã tồn tại)</t>
  </si>
  <si>
    <t>Mật khẩu nhập lại không khớp</t>
  </si>
  <si>
    <t>Mật khẩu nhập lại khớp</t>
  </si>
  <si>
    <t>Kiểm tra SQL Injection (Trường Họ tên)</t>
  </si>
  <si>
    <t>Kiểm tra XSS (Script Injection)</t>
  </si>
  <si>
    <t>Copy Paste khoảng trắng (Space)</t>
  </si>
  <si>
    <t>Tất cả các trường để trống, nhấn Đăng ký.</t>
  </si>
  <si>
    <t>Email: "nguyenvana" hoặc "nguyen@com"</t>
  </si>
  <si>
    <t>SĐT: "123456789" (9 số)</t>
  </si>
  <si>
    <t>SĐT: "0901234567" (10 số)</t>
  </si>
  <si>
    <t>SĐT: "090123456789" (12 số)</t>
  </si>
  <si>
    <t>Thông báo lỗi: "Email không đúng định dạng".</t>
  </si>
  <si>
    <t>Thông báo lỗi: "Số điện thoại chỉ được chứa số".</t>
  </si>
  <si>
    <t>Thông báo lỗi hoặc cảnh báo (tùy nghiệp vụ quy định 10 số).</t>
  </si>
  <si>
    <t>Hệ thống chấp nhận, không báo lỗi.</t>
  </si>
  <si>
    <t>Hệ thống cắt bớt chuỗi còn 255 ký tự hoặc báo lỗi "Tên quá dài".</t>
  </si>
  <si>
    <t>Thông báo lỗi: "Email này đã được đăng ký". Không tạo tài khoản mới.</t>
  </si>
  <si>
    <t>Thông báo lỗi: "Mật khẩu nhập lại không khớp".</t>
  </si>
  <si>
    <t>Hệ thống chấp nhận, tiếp tục quy trình đăng ký.</t>
  </si>
  <si>
    <t>Phân vùng tương đương (EP)</t>
  </si>
  <si>
    <t>Giá trị biên (BVA)</t>
  </si>
  <si>
    <t>Đoán lỗi (Error Guessing)</t>
  </si>
  <si>
    <t>Bảng quyết định (Decision Table)</t>
  </si>
  <si>
    <t>Bảo mật</t>
  </si>
  <si>
    <t>Họ tên: "Nguyen Van A"
Email: "test@gmail.com"
SĐT: "0901234567"
Pass: "123456"
Re-Pass: "123456"
Địa chỉ: "Hà Nội</t>
  </si>
  <si>
    <t>SĐT: "090abc1234</t>
  </si>
  <si>
    <t>- Thông báo "Đăng ký thành công".</t>
  </si>
  <si>
    <t>Hệ thống hiển thị thông báo lỗi yêu cầu nhập dữ liệu cho từng trường bắt buộc.</t>
  </si>
  <si>
    <t>Thông báo lỗi hoặc cảnh báo (tùy nghiệp vụ quy định 10 số)..</t>
  </si>
  <si>
    <t>Nhập chuỗi A dài hơn 255 ký tự (giới hạn DB).</t>
  </si>
  <si>
    <t>vdang9721@gmail.com</t>
  </si>
  <si>
    <t>Team Member</t>
  </si>
  <si>
    <t>Pass: "123456"
Re-Pass: "654321"</t>
  </si>
  <si>
    <t>Pass: "123456"
Re-Pass: "123456"</t>
  </si>
  <si>
    <t>Họ tên: ' OR 1=1 --</t>
  </si>
  <si>
    <t>Họ tên: &lt;script&gt;alert('hacked')&lt;/script&gt;</t>
  </si>
  <si>
    <t>Kết quả mong đợi</t>
  </si>
  <si>
    <t>Bỏ trống (Null/Empty)</t>
  </si>
  <si>
    <t>Chấp nhận</t>
  </si>
  <si>
    <t>Số điện thoại</t>
  </si>
  <si>
    <t>Trường dữ liệu</t>
  </si>
  <si>
    <t>Biên cần test</t>
  </si>
  <si>
    <t>Giá trị kiểm thử (Value)</t>
  </si>
  <si>
    <t>Mô tả biên</t>
  </si>
  <si>
    <t>(Yêu cầu: 10 số)</t>
  </si>
  <si>
    <t>Min - 1</t>
  </si>
  <si>
    <t>9 số</t>
  </si>
  <si>
    <t>Báo lỗi (Quá ngắn)</t>
  </si>
  <si>
    <t>Valid (Nominal)</t>
  </si>
  <si>
    <t>10 số</t>
  </si>
  <si>
    <t>Max + 1</t>
  </si>
  <si>
    <t>12 số*</t>
  </si>
  <si>
    <t>Báo lỗi (Quá dài)</t>
  </si>
  <si>
    <t>Họ tên</t>
  </si>
  <si>
    <t>(Max DB: 255 chars)</t>
  </si>
  <si>
    <t>256 ký tự</t>
  </si>
  <si>
    <t>Chuỗi 'A' dài 256 ký tự</t>
  </si>
  <si>
    <t>Tự cắt chuỗi hoặc Báo lỗi</t>
  </si>
  <si>
    <t>Điều kiện (Conditions) / Hành động (Actions)</t>
  </si>
  <si>
    <t>Rule 1 (TC09)</t>
  </si>
  <si>
    <t>Rule 2 (TC10)</t>
  </si>
  <si>
    <t>Rule 3 (TC11)</t>
  </si>
  <si>
    <t>Có (Yes)</t>
  </si>
  <si>
    <t>Không (No)</t>
  </si>
  <si>
    <t>- (Không quan tâm)</t>
  </si>
  <si>
    <t>X</t>
  </si>
  <si>
    <t>Test Case ID Tương ứng</t>
  </si>
  <si>
    <t>Boundary</t>
  </si>
  <si>
    <t>Decision Table</t>
  </si>
  <si>
    <t>Ex Condition (Điều kiện đầu vào)</t>
  </si>
  <si>
    <t>Valid E condition (Lớp hợp lệ)</t>
  </si>
  <si>
    <t>Number (ID)</t>
  </si>
  <si>
    <t>Invalid E condition (Lớp không hợp lệ)</t>
  </si>
  <si>
    <t>Đã nhập dữ liệu (Not Null)</t>
  </si>
  <si>
    <t>Định dạng Email</t>
  </si>
  <si>
    <t>Chứa ký tự '@', domain hợp lệ (vd: abc@gmail.com)</t>
  </si>
  <si>
    <t>Thiếu '@', thiếu domain, chứa ký tự cấm</t>
  </si>
  <si>
    <t>Kiểu dữ liệu SĐT</t>
  </si>
  <si>
    <t>Chỉ chứa ký tự số (0-9)</t>
  </si>
  <si>
    <t>Chứa ký tự chữ cái hoặc ký tự đặc biệt</t>
  </si>
  <si>
    <t>Trùng lặp Email</t>
  </si>
  <si>
    <t>Email chưa tồn tại trong hệ thống (New Email)</t>
  </si>
  <si>
    <t>Email đã tồn tại trong hệ thống (Existing Email)</t>
  </si>
  <si>
    <t>Khoảng trắng (Space)</t>
  </si>
  <si>
    <t>Không có khoảng trắng thừa</t>
  </si>
  <si>
    <t>Có khoảng trắng ở đầu hoặc cuối (Cần Trim)</t>
  </si>
  <si>
    <t>Equivalence</t>
  </si>
  <si>
    <t>TC15</t>
  </si>
  <si>
    <t>TC16</t>
  </si>
  <si>
    <t>TC17</t>
  </si>
  <si>
    <t>TC18</t>
  </si>
  <si>
    <t>Email viết Hoa/Thường lẫn lộn</t>
  </si>
  <si>
    <t>TC19</t>
  </si>
  <si>
    <t>SĐT: "090-123-4567"</t>
  </si>
  <si>
    <t>TC20</t>
  </si>
  <si>
    <t>TC21</t>
  </si>
  <si>
    <t>Mật khẩu chứa dấu cách</t>
  </si>
  <si>
    <t>TC22</t>
  </si>
  <si>
    <t>Pass: "123456"</t>
  </si>
  <si>
    <t>TC23</t>
  </si>
  <si>
    <t>TC24</t>
  </si>
  <si>
    <t>TC25</t>
  </si>
  <si>
    <t>TC26</t>
  </si>
  <si>
    <t>TC27</t>
  </si>
  <si>
    <t>Dùng phím Enter để Submit</t>
  </si>
  <si>
    <t>N/A</t>
  </si>
  <si>
    <t>TC28</t>
  </si>
  <si>
    <t>TC29</t>
  </si>
  <si>
    <t>TC30</t>
  </si>
  <si>
    <t>Email: ' OR '1'='1</t>
  </si>
  <si>
    <t>Nhập Tên chỉ chứa khoảng trắng</t>
  </si>
  <si>
    <t>Tên chứa ký tự đặc biệt</t>
  </si>
  <si>
    <t>Email chứa khoảng trắng đầu/cuối</t>
  </si>
  <si>
    <t>SĐT chứa dấu gạch/cách</t>
  </si>
  <si>
    <t>SĐT bắt đầu bằng số lạ</t>
  </si>
  <si>
    <t>Copy-Paste vào ô Nhập lại MK</t>
  </si>
  <si>
    <t>Địa chỉ siêu dài</t>
  </si>
  <si>
    <t>HTML Injection vào Tên</t>
  </si>
  <si>
    <t>SQL Injection vào Email</t>
  </si>
  <si>
    <t>XSS Injection vào Địa chỉ</t>
  </si>
  <si>
    <t>Spam nút (Double Click)</t>
  </si>
  <si>
    <t>Thay đổi dữ liệu phút cuối</t>
  </si>
  <si>
    <t>Kiểm tra Tab Order</t>
  </si>
  <si>
    <t>Họ tên: (3 dấu cách)</t>
  </si>
  <si>
    <t>Tên: "User 🤡"</t>
  </si>
  <si>
    <t>Email: " test@gmail.com "</t>
  </si>
  <si>
    <t>Email: "TeSt@GmAiL.CoM"</t>
  </si>
  <si>
    <t>SĐT: "+84..." hoặc "1900..."</t>
  </si>
  <si>
    <t>Pass: "mk 123"</t>
  </si>
  <si>
    <t>Địa chỉ: 1000 ký tự</t>
  </si>
  <si>
    <t>Tên: &lt;b&gt;In Đậm&lt;/b&gt;</t>
  </si>
  <si>
    <t>ĐC: &lt;script&gt;alert(1)&lt;/script&gt;</t>
  </si>
  <si>
    <t>Sửa thành: "abc@"</t>
  </si>
  <si>
    <t>Tự động cắt bỏ khoảng trắng (Trim) và đăng ký thành công.</t>
  </si>
  <si>
    <t>Tự động chuyển về chữ thường và xử lý như email thường.</t>
  </si>
  <si>
    <t>Báo lỗi định dạng số điện thoại không hợp lệ.</t>
  </si>
  <si>
    <t>Hệ thống chấp nhận (nếu cho phép space) hoặc báo lỗi.</t>
  </si>
  <si>
    <t>Thường cho phép paste. Nếu bảo mật cao thì chặn Paste.</t>
  </si>
  <si>
    <t>Không lỗi Crash. Tự cắt ngắn hoặc báo lỗi quá dài.</t>
  </si>
  <si>
    <t>Form được gửi đi tương tự như khi bấm nút Đăng ký.</t>
  </si>
  <si>
    <t>Chỉ tạo 1 tài khoản duy nhất. Không lỗi Duplicate Database.</t>
  </si>
  <si>
    <t>Hệ thống phải bắt được lỗi sai định dạng mới sửa.</t>
  </si>
  <si>
    <t>Con trỏ chuột nhảy đúng thứ tự từ trên xuống dưới.</t>
  </si>
  <si>
    <t>Chấp nhận hiển thị đúng và đăng kí thành công.</t>
  </si>
  <si>
    <t>Báo lỗi "Chỉ nhập số".</t>
  </si>
  <si>
    <t>Báo lỗi "Tên không được để trống".</t>
  </si>
  <si>
    <t>1. Access the URL
2. Enter information.
3. Register</t>
  </si>
  <si>
    <t>1. Access the URL
2. Register</t>
  </si>
  <si>
    <t>Đăng kí thành công</t>
  </si>
  <si>
    <t>Đăng kí thất bại</t>
  </si>
  <si>
    <t>Vận hành bình thường</t>
  </si>
  <si>
    <t>Hệ thống tự động cắt khoảng trắng (Trim) trước khi kiểm tra và lưu vào DB..</t>
  </si>
  <si>
    <t>Email: " test@gmail.com " (có khoảng trắng đầu/cuối).</t>
  </si>
  <si>
    <t>Hệ thống không bị crash</t>
  </si>
  <si>
    <t>Báo lỗi Email không đúng. Không bị crash.</t>
  </si>
  <si>
    <t>Admin - logout</t>
  </si>
  <si>
    <t>Kiểm tra Admin đăng xuất thành công</t>
  </si>
  <si>
    <t>Tài khoản Admin đã đăng nhập thành công vào hệ thống và đang ở trang Dashboard (index.php).</t>
  </si>
  <si>
    <t>1. Truy cập vào hệ thống (nếu chưa login thì thực hiện login).
2. Tại giao diện Dashboard, tìm vị trí nút/icon "Đăng xuất" (thường ở góc phải header).
3. Click vào nút/icon "Đăng xuất".
4. Quan sát URL và giao diện sau khi click.</t>
  </si>
  <si>
    <t>URL: /admin/login.php
User: Admin1
Pass: Ad123456</t>
  </si>
  <si>
    <t>1. Hệ thống chuyển hướng (redirect) về trang Đăng nhập (login.php).
2. Form đăng nhập hiển thị lại.
3. Không còn truy cập được trang index.php nếu nhấn nút Back của trình duyệt (Session đã bị hủy).</t>
  </si>
  <si>
    <t>Đăng xuất thành công</t>
  </si>
  <si>
    <t>Error Guessing</t>
  </si>
  <si>
    <t>View Revenue Report</t>
  </si>
  <si>
    <t>Truy cập trang Thống kê (7 ngày)</t>
  </si>
  <si>
    <t>Truy cập trang Thống kê (30 ngày)</t>
  </si>
  <si>
    <t>Truy cập trang Thống kê (90 ngày)</t>
  </si>
  <si>
    <t>Truy cập trang Thống kê (1 năm)</t>
  </si>
  <si>
    <t>1. Đăng nhập Admin.
2. Truy cập URL statistical.php.
3. Tại trang thống kê.
4. Tìm dropdown "Chọn thời gian".
5. Chọn "7 ngày".</t>
  </si>
  <si>
    <t>1. Đăng nhập Admin.
2. Truy cập URL statistical.php.
3. Tại trang thống kê.
4. Tìm dropdown "Chọn thời gian".
5. Chọn "30 ngày".</t>
  </si>
  <si>
    <t>1. Đăng nhập Admin.
2. Truy cập URL statistical.php.
3. Tại trang thống kê.
4. Tìm dropdown "Chọn thời gian".
5. Chọn "90 ngày".</t>
  </si>
  <si>
    <t>1. Đăng nhập Admin.
2. Truy cập URL statistical.php.
3. Tại trang thống kê.
4. Tìm dropdown "Chọn thời gian".
5. Chọn "1 năm".</t>
  </si>
  <si>
    <t>7 ngày</t>
  </si>
  <si>
    <t>30 ngày</t>
  </si>
  <si>
    <t>90 ngày</t>
  </si>
  <si>
    <t>1 năm</t>
  </si>
  <si>
    <t>1. Hệ thống gửi request lấy dữ liệu mới.
2. Biểu đồ cập nhật lại (không bị lỗi JS).</t>
  </si>
  <si>
    <t>xem thành công</t>
  </si>
  <si>
    <t xml:space="preserve">Pass: </t>
  </si>
  <si>
    <t xml:space="preserve">Fail: </t>
  </si>
  <si>
    <t xml:space="preserve">Pending: </t>
  </si>
  <si>
    <t xml:space="preserve">Total: </t>
  </si>
  <si>
    <t>Thêm giỏ hàng (Cố định)</t>
  </si>
  <si>
    <t>1. Code chọn Size ngẫu nhiên; 2. Code nhập Qty ngẫu nhiên; 3. Bấm nút Thêm</t>
  </si>
  <si>
    <t>Chuyển sang cart.php; Đúng số lượng đã chọn</t>
  </si>
  <si>
    <t>Size: Đầu tiên; Số lượng: 1</t>
  </si>
  <si>
    <t>Size: Đầu tiên; Số lượng: 2</t>
  </si>
  <si>
    <t>Size: Đầu tiên; Số lượng: 3</t>
  </si>
  <si>
    <t>Size: Đầu tiên; Số lượng: 4</t>
  </si>
  <si>
    <t>Size: Đầu tiên; Số lượng: 5</t>
  </si>
  <si>
    <t>Size: Đầu tiên; Số lượng: 7</t>
  </si>
  <si>
    <t>Size: Đầu tiên; Số lượng: 8</t>
  </si>
  <si>
    <t>Size: Đầu tiên; Số lượng: 10</t>
  </si>
  <si>
    <t>Size: Đầu tiên; Số lượng: 12</t>
  </si>
  <si>
    <t>Size: Cuối cùng; Số lượng: 4</t>
  </si>
  <si>
    <t>Size: Thứ 2; Số lượng: 2</t>
  </si>
  <si>
    <t>Size: Đầu tiên; Số lượng: 20</t>
  </si>
  <si>
    <t>Size: Đầu tiên; Số lượng: 15</t>
  </si>
  <si>
    <t>Size: Cuối cùng; Số lượng: 50</t>
  </si>
  <si>
    <t>Add Product To Cart</t>
  </si>
  <si>
    <t>Không thêm vô giỏ hàng</t>
  </si>
  <si>
    <t>Quy trình chuẩn: Mua hàng và Xem đơn</t>
  </si>
  <si>
    <t>Tài khoản: vdang9721</t>
  </si>
  <si>
    <t>Hệ thống chuyển đến trang Chi tiết đơn hàng; Tiêu đề trang là "CHI TIẾT ĐƠN HÀNG"</t>
  </si>
  <si>
    <t>Tên: vdang9721</t>
  </si>
  <si>
    <t>Kiểm tra danh sách sản phẩm</t>
  </si>
  <si>
    <t>Bảng sản phẩm hiển thị rõ ràng; Có ít nhất 1 sản phẩm trong danh sách</t>
  </si>
  <si>
    <t>Kiểm tra hiển thị Tổng tiền</t>
  </si>
  <si>
    <t>Số tiền hiển thị đúng định dạng số; Có đơn vị tiền tệ</t>
  </si>
  <si>
    <t>Kiểm tra đúng Size đã chọn</t>
  </si>
  <si>
    <t>Size đã chọn (L)</t>
  </si>
  <si>
    <t>Cột Size trong bảng đơn hàng phải hiển thị đúng ký tự Size đã chọn (L)</t>
  </si>
  <si>
    <t>Mua số lượng lớn (10 cái)</t>
  </si>
  <si>
    <t>Số lượng: 10</t>
  </si>
  <si>
    <t>Cột số lượng trong bảng chi tiết phải hiển thị số 10</t>
  </si>
  <si>
    <t>Kiểm tra Mã đơn hàng</t>
  </si>
  <si>
    <t>1. Tại trang chi tiết đơn hàng; 2. Tìm dòng mã số đơn hàng</t>
  </si>
  <si>
    <t>Mã đơn hàng được hiển thị và có nội dung (không bị rỗng)</t>
  </si>
  <si>
    <t>Kiểm tra nút "Tiếp tục mua sắm"</t>
  </si>
  <si>
    <t>Hệ thống chuyển hướng quay về Trang chủ</t>
  </si>
  <si>
    <t>Truy cập trực tiếp bằng đường dẫn</t>
  </si>
  <si>
    <t>URL trang chi tiết</t>
  </si>
  <si>
    <t>Truy cập thành công; Trang hiển thị đầy đủ nội dung đơn hàng</t>
  </si>
  <si>
    <t>Sử dụng nút Quay lại (Back)</t>
  </si>
  <si>
    <t>Trình duyệt quay lại trang trước đó (không còn ở trang chi tiết nữa)</t>
  </si>
  <si>
    <t>Kiểm tra khi chưa có đơn hàng mới</t>
  </si>
  <si>
    <t>Giỏ hàng rỗng</t>
  </si>
  <si>
    <t>Trang web vẫn hoạt động bình thường, không bị lỗi hệ thống (Crash/Fatal Error)</t>
  </si>
  <si>
    <t>Kiểm tra bảo mật đường dẫn (SQL Injection)</t>
  </si>
  <si>
    <t>Mã độc SQL</t>
  </si>
  <si>
    <t>Hệ thống không bị lỗi nghiêm trọng lộ thông tin database</t>
  </si>
  <si>
    <t>Error Guesing</t>
  </si>
  <si>
    <t>Xem thành công</t>
  </si>
  <si>
    <t>1. Đăng nhập và mua 1 sản phẩm; 
2. Thanh toán thành công; 
3. Rê chuột vào tên tài khoản, chọn "Đơn hàng của tôi"</t>
  </si>
  <si>
    <t>1. Tại trang chi tiết đơn hàng; 
2. Quan sát bảng liệt kê sản phẩm</t>
  </si>
  <si>
    <t>1. Tìm dòng tổng cộng trong bảng; 
2. Quan sát cách hiển thị số tiền</t>
  </si>
  <si>
    <t>1. Ở trang chủ, ghi nhớ Size đã chọn (ví dụ: L);
2. Mua hàng và vào xem đơn; 
3. So sánh Size trong bảng đơn hàng</t>
  </si>
  <si>
    <t>1. Chọn mua sản phẩm với số lượng 10; 
2. Thanh toán và xem lịch sử</t>
  </si>
  <si>
    <t>1. Kéo xuống cuối trang đơn hàng; 
2. Nhấn nút "TIẾP TỤC MUA SẮM"</t>
  </si>
  <si>
    <t xml:space="preserve">1. Đang ở trạng thái đăng nhập; 
2. Gõ trực tiếp địa chỉ trang chi tiết vào thanh URL trình duyệt
</t>
  </si>
  <si>
    <t>1. Đang ở trang chi tiết đơn hàng; 
2. Nhấn nút Back trên trình duyệt</t>
  </si>
  <si>
    <t>1. Đăng nhập lại vào một phiên mới; 
2. Vào xem "Đơn hàng của tôi" ngay khi chưa mua gì</t>
  </si>
  <si>
    <t>1. Thử thêm các ký tự mã độc vào đường dẫn trang web; 
2. Nhấn Enter</t>
  </si>
  <si>
    <t>Kiểm tra email người nhận</t>
  </si>
  <si>
    <t>1. Thực hiện mua hàng và vào xem đơn; 
2. Quan sát phần email trong thông tin giao hàng</t>
  </si>
  <si>
    <t>Hiển thị đúng tiêu đề "Thông tin giao hàng" và có email là "vdang9721"</t>
  </si>
  <si>
    <t>Xem thất bại</t>
  </si>
  <si>
    <t>Kiểm tra giao diện Mobile</t>
  </si>
  <si>
    <t>Viewport: iPhone X</t>
  </si>
  <si>
    <t>Bảng dữ liệu hiển thị tốt (không vỡ layout); Tiêu đề và nội dung vẫn đọc được rõ ràng</t>
  </si>
  <si>
    <t>1. Chuyển trình duyệt sang chế độ iPhone X; 
2. Thực hiện mua hàng và vào xem đơn; 
3. Quan sát giao diện</t>
  </si>
  <si>
    <t>Kiểm tra Font chữ tiêu đề</t>
  </si>
  <si>
    <t>Tiêu đề trang phải được in đậm (font-weight: bold hoặc 700)</t>
  </si>
  <si>
    <t>1. Thực hiện mua hàng và vào xem đơn; 
2. Kiểm tra định dạng CSS của tiêu đề "CHI TIẾT ĐƠN HÀNG"</t>
  </si>
  <si>
    <t>Usability</t>
  </si>
  <si>
    <t>Configuration</t>
  </si>
  <si>
    <t>Security</t>
  </si>
  <si>
    <t>Xem các đơn hàng từ khách hàng</t>
  </si>
  <si>
    <t xml:space="preserve">1. Đăng nhập vào trang admin; 
2. Bấm vào mục quản lí đơn hàng; 
</t>
  </si>
  <si>
    <t>Xem thông tin khách hàng</t>
  </si>
  <si>
    <t>1. Đăng nhập vào trang admin; 
2. Bấm vào mục quản lí đơn hàng; 
3. Bấm vào "xem" dưới cột thông tin khách hàng</t>
  </si>
  <si>
    <t>id khách hàng: 23</t>
  </si>
  <si>
    <t>Hiển thị thông tin khách hàng</t>
  </si>
  <si>
    <t xml:space="preserve">Hệ thống chuyển đến trang Quản lí đơn hàng và cho thấy bảng đơn hàng </t>
  </si>
  <si>
    <t>Xem chi tiết đơn hàng</t>
  </si>
  <si>
    <t>id khách hàng: 22</t>
  </si>
  <si>
    <t>1. Đăng nhập vào trang admin; 
2. Bấm vào mục quản lí đơn hàng; 
3. Bấm vào "xem" dưới cột chi tiết đơn hàng</t>
  </si>
  <si>
    <t>Hiển thị chi tiết đơn hàng</t>
  </si>
  <si>
    <t>Xóa đơn hàng</t>
  </si>
  <si>
    <t>1. Đăng nhập vào trang admin; 
2. Bấm vào mục quản lí đơn hàng; 
3. Bấm vào "đã hoàn thành"</t>
  </si>
  <si>
    <t>Xem đơn hàng đã hoàn thành</t>
  </si>
  <si>
    <t>Hiển thị "đã xử lí"</t>
  </si>
  <si>
    <t>Hiển thị "chưa xử lí"</t>
  </si>
  <si>
    <t>Xem đơn hàng chưa hoàn thành</t>
  </si>
  <si>
    <t>1. Đăng nhập vào trang admin; 
2. Bấm vào mục quản lí đơn hàng; 
3. Bấm vào "chưa hoàn thành"</t>
  </si>
  <si>
    <t>Cập nhật tình trạng đơn hàng</t>
  </si>
  <si>
    <t>1. Đăng nhập vào trang admin; 
2. Bấm vào mục quản lí đơn hàng; 
3. Bấm vào "chưa hoàn thành"
4. Bấm vào “đã xử lí”</t>
  </si>
  <si>
    <t>Tình trạng thay đổi</t>
  </si>
  <si>
    <t>web bị lỗi</t>
  </si>
  <si>
    <t>1. Đăng nhập vào trang admin; 
2. Bấm vào mục quản lí đơn hàng; 
3. Bấm vào biểu tượng thùng rác cuối mỗi đơn hàng</t>
  </si>
  <si>
    <t>Đơn hàng bị xóa</t>
  </si>
  <si>
    <t>TEST REPORT</t>
  </si>
  <si>
    <t>Test Cycle</t>
  </si>
  <si>
    <t>System Test</t>
  </si>
  <si>
    <t>Executed</t>
  </si>
  <si>
    <t>Passed</t>
  </si>
  <si>
    <t>Failed</t>
  </si>
  <si>
    <t>(Total) Test executed (Passed + Failed)</t>
  </si>
  <si>
    <t>Pending</t>
  </si>
  <si>
    <t>In Process</t>
  </si>
  <si>
    <t>Blocked</t>
  </si>
  <si>
    <t>(Sub-total) Test Planned</t>
  </si>
  <si>
    <t>Pending + In Process + Blocked + Test Planned</t>
  </si>
  <si>
    <t>Function</t>
  </si>
  <si>
    <t>% TCs Executed</t>
  </si>
  <si>
    <t>% TCs Passed</t>
  </si>
  <si>
    <t>% TCs Failed</t>
  </si>
  <si>
    <t>Priority</t>
  </si>
  <si>
    <t>High</t>
  </si>
  <si>
    <t>Critical</t>
  </si>
  <si>
    <t>Unstable</t>
  </si>
  <si>
    <t>Medium</t>
  </si>
  <si>
    <t>Low</t>
  </si>
  <si>
    <t>Admin logout</t>
  </si>
  <si>
    <t>View revenue report</t>
  </si>
  <si>
    <t xml:space="preserve">Add product to cart </t>
  </si>
  <si>
    <t>View order history</t>
  </si>
  <si>
    <t>Manage Order</t>
  </si>
  <si>
    <t>Create a new account with valid personal information</t>
  </si>
  <si>
    <t>Securely sign out from the administrator account</t>
  </si>
  <si>
    <t>View sales statistics and income reports</t>
  </si>
  <si>
    <t>Select an item and add it to the shopping cart</t>
  </si>
  <si>
    <t>View a list of past orders and their details</t>
  </si>
  <si>
    <t>Admin reviews, updates, or processes customer orders</t>
  </si>
  <si>
    <r>
      <t>C1:</t>
    </r>
    <r>
      <rPr>
        <sz val="11"/>
        <color rgb="FF1F1F1F"/>
        <rFont val="Times New Roman"/>
        <family val="1"/>
      </rPr>
      <t xml:space="preserve"> Email đã tồn tại trong hệ thống?</t>
    </r>
  </si>
  <si>
    <r>
      <t>C2:</t>
    </r>
    <r>
      <rPr>
        <sz val="11"/>
        <color rgb="FF1F1F1F"/>
        <rFont val="Times New Roman"/>
        <family val="1"/>
      </rPr>
      <t xml:space="preserve"> Mật khẩu &amp; Nhập lại mật khẩu khớp nhau?</t>
    </r>
  </si>
  <si>
    <r>
      <t>A1:</t>
    </r>
    <r>
      <rPr>
        <sz val="11"/>
        <color rgb="FF1F1F1F"/>
        <rFont val="Times New Roman"/>
        <family val="1"/>
      </rPr>
      <t xml:space="preserve"> Hiển thị lỗi "Email đã tồn tại"</t>
    </r>
  </si>
  <si>
    <r>
      <t>A2:</t>
    </r>
    <r>
      <rPr>
        <sz val="11"/>
        <color rgb="FF1F1F1F"/>
        <rFont val="Times New Roman"/>
        <family val="1"/>
      </rPr>
      <t xml:space="preserve"> Hiển thị lỗi "Mật khẩu không khớp"</t>
    </r>
  </si>
  <si>
    <r>
      <t>A3:</t>
    </r>
    <r>
      <rPr>
        <sz val="11"/>
        <color rgb="FF1F1F1F"/>
        <rFont val="Times New Roman"/>
        <family val="1"/>
      </rPr>
      <t xml:space="preserve"> Đăng ký thành công (Lưu vào DB)</t>
    </r>
  </si>
  <si>
    <r>
      <t>Các trường bắt buộc</t>
    </r>
    <r>
      <rPr>
        <sz val="11"/>
        <color rgb="FF1F1F1F"/>
        <rFont val="Times New Roman"/>
        <family val="1"/>
      </rPr>
      <t xml:space="preserve"> (Tên, Email, Pass...)</t>
    </r>
  </si>
  <si>
    <t>View Order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</si>
</sst>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Times New Roman"/>
      <family val="1"/>
    </font>
    <font>
      <b/>
      <sz val="12"/>
      <color theme="1"/>
      <name val="Times New Roman"/>
      <family val="1"/>
    </font>
    <font>
      <sz val="12"/>
      <color rgb="FF161C2D"/>
      <name val="Times New Roman"/>
      <family val="1"/>
    </font>
    <font>
      <b/>
      <sz val="11"/>
      <color theme="1"/>
      <name val="Calibri"/>
      <family val="2"/>
      <scheme val="minor"/>
    </font>
    <font>
      <u/>
      <sz val="11"/>
      <color theme="10"/>
      <name val="Calibri"/>
      <family val="2"/>
      <scheme val="minor"/>
    </font>
    <font>
      <b/>
      <sz val="11"/>
      <color theme="1"/>
      <name val="Times New Roman"/>
      <family val="1"/>
    </font>
    <font>
      <sz val="11"/>
      <color theme="1"/>
      <name val="Times New Roman"/>
      <family val="1"/>
    </font>
    <font>
      <b/>
      <sz val="11"/>
      <color rgb="FF1F1F1F"/>
      <name val="Times New Roman"/>
      <family val="1"/>
    </font>
    <font>
      <sz val="11"/>
      <color rgb="FF1F1F1F"/>
      <name val="Times New Roman"/>
      <family val="1"/>
    </font>
    <font>
      <sz val="10"/>
      <color rgb="FF444746"/>
      <name val="Times New Roman"/>
      <family val="1"/>
    </font>
    <font>
      <sz val="8"/>
      <name val="Calibri"/>
      <family val="2"/>
      <scheme val="minor"/>
    </font>
    <font>
      <sz val="11"/>
      <name val="Times New Roman"/>
      <family val="1"/>
    </font>
    <font>
      <b/>
      <sz val="18"/>
      <color theme="1"/>
      <name val="Times New Roman"/>
      <family val="1"/>
    </font>
    <font>
      <b/>
      <sz val="12"/>
      <color rgb="FF1F3864"/>
      <name val="Times New Roman"/>
      <family val="1"/>
    </font>
    <font>
      <sz val="12"/>
      <color rgb="FF1F3864"/>
      <name val="Times New Roman"/>
      <family val="1"/>
    </font>
    <font>
      <sz val="12"/>
      <name val="Times New Roman"/>
      <family val="1"/>
    </font>
    <font>
      <b/>
      <sz val="12"/>
      <color rgb="FFFF0000"/>
      <name val="Times New Roman"/>
      <family val="1"/>
    </font>
    <font>
      <sz val="12"/>
      <color rgb="FFFF0000"/>
      <name val="Times New Roman"/>
      <family val="1"/>
    </font>
    <font>
      <i/>
      <sz val="12"/>
      <color theme="1"/>
      <name val="Times New Roman"/>
      <family val="1"/>
    </font>
  </fonts>
  <fills count="14">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rgb="FF92D050"/>
        <bgColor indexed="64"/>
      </patternFill>
    </fill>
    <fill>
      <patternFill patternType="solid">
        <fgColor rgb="FFFFFF00"/>
        <bgColor indexed="64"/>
      </patternFill>
    </fill>
    <fill>
      <patternFill patternType="solid">
        <fgColor rgb="FFA8D08D"/>
        <bgColor rgb="FFA8D08D"/>
      </patternFill>
    </fill>
    <fill>
      <patternFill patternType="solid">
        <fgColor rgb="FFB4C6E7"/>
        <bgColor rgb="FFB4C6E7"/>
      </patternFill>
    </fill>
    <fill>
      <patternFill patternType="solid">
        <fgColor theme="5"/>
        <bgColor indexed="64"/>
      </patternFill>
    </fill>
    <fill>
      <patternFill patternType="solid">
        <fgColor rgb="FFFF2121"/>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7" tint="0.79998168889431442"/>
        <bgColor indexed="64"/>
      </patternFill>
    </fill>
  </fills>
  <borders count="27">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rgb="FF000000"/>
      </left>
      <right style="medium">
        <color indexed="64"/>
      </right>
      <top style="medium">
        <color indexed="64"/>
      </top>
      <bottom style="medium">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indexed="64"/>
      </right>
      <top style="medium">
        <color indexed="64"/>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82">
    <xf numFmtId="0" fontId="0" fillId="0" borderId="0" xfId="0"/>
    <xf numFmtId="0" fontId="2" fillId="2" borderId="1" xfId="0" applyFont="1" applyFill="1" applyBorder="1" applyAlignment="1">
      <alignment vertical="center" wrapText="1"/>
    </xf>
    <xf numFmtId="0" fontId="1" fillId="2" borderId="1" xfId="0" applyFont="1" applyFill="1" applyBorder="1" applyAlignment="1">
      <alignment vertical="center" wrapText="1"/>
    </xf>
    <xf numFmtId="14" fontId="1" fillId="2" borderId="1" xfId="0" applyNumberFormat="1" applyFont="1" applyFill="1" applyBorder="1" applyAlignment="1">
      <alignment horizontal="righ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3" fillId="3" borderId="4" xfId="0" applyFont="1" applyFill="1" applyBorder="1" applyAlignment="1">
      <alignment horizontal="center" vertical="center" wrapText="1"/>
    </xf>
    <xf numFmtId="0" fontId="1" fillId="0" borderId="5" xfId="0" quotePrefix="1" applyFont="1" applyBorder="1" applyAlignment="1">
      <alignment horizontal="center" vertical="center" wrapText="1"/>
    </xf>
    <xf numFmtId="0" fontId="1" fillId="0" borderId="6" xfId="0" applyFont="1" applyBorder="1" applyAlignment="1">
      <alignment horizontal="left" vertical="center" wrapText="1"/>
    </xf>
    <xf numFmtId="0" fontId="1" fillId="0" borderId="7" xfId="0" quotePrefix="1" applyFont="1" applyBorder="1" applyAlignment="1">
      <alignment horizontal="center" vertical="center" wrapText="1"/>
    </xf>
    <xf numFmtId="0" fontId="1" fillId="0" borderId="8" xfId="0" quotePrefix="1" applyFont="1" applyBorder="1" applyAlignment="1">
      <alignment horizontal="center" vertical="center" wrapText="1"/>
    </xf>
    <xf numFmtId="0" fontId="1" fillId="0" borderId="2" xfId="0" quotePrefix="1" applyFont="1" applyBorder="1" applyAlignment="1">
      <alignment horizontal="center" vertical="center" wrapText="1"/>
    </xf>
    <xf numFmtId="0" fontId="1" fillId="4" borderId="2" xfId="0" applyFont="1" applyFill="1" applyBorder="1" applyAlignment="1">
      <alignment horizontal="center" vertical="center" wrapText="1"/>
    </xf>
    <xf numFmtId="0" fontId="1" fillId="0" borderId="9" xfId="0" quotePrefix="1" applyFont="1" applyBorder="1" applyAlignment="1">
      <alignment horizontal="center" vertical="center" wrapText="1"/>
    </xf>
    <xf numFmtId="0" fontId="1" fillId="0" borderId="5" xfId="0" applyFont="1" applyBorder="1" applyAlignment="1">
      <alignment horizontal="left" vertical="center" wrapText="1"/>
    </xf>
    <xf numFmtId="0" fontId="1" fillId="0" borderId="10" xfId="0" quotePrefix="1" applyFont="1" applyBorder="1" applyAlignment="1">
      <alignment horizontal="center" vertical="center" wrapText="1"/>
    </xf>
    <xf numFmtId="0" fontId="1" fillId="0" borderId="11" xfId="0" quotePrefix="1" applyFont="1" applyBorder="1" applyAlignment="1">
      <alignment horizontal="center" vertical="center" wrapText="1"/>
    </xf>
    <xf numFmtId="0" fontId="1" fillId="0" borderId="12" xfId="0" quotePrefix="1" applyFont="1" applyBorder="1" applyAlignment="1">
      <alignment horizontal="center" vertical="center" wrapText="1"/>
    </xf>
    <xf numFmtId="0" fontId="5" fillId="0" borderId="10" xfId="1" quotePrefix="1" applyBorder="1" applyAlignment="1">
      <alignment horizontal="center" vertical="center" wrapText="1"/>
    </xf>
    <xf numFmtId="0" fontId="6" fillId="0" borderId="0" xfId="0" applyFont="1"/>
    <xf numFmtId="0" fontId="7" fillId="0" borderId="0" xfId="0" applyFont="1"/>
    <xf numFmtId="0" fontId="8" fillId="0" borderId="2" xfId="0" applyFont="1" applyBorder="1" applyAlignment="1">
      <alignment horizontal="right" vertical="center" wrapText="1" indent="1" readingOrder="1"/>
    </xf>
    <xf numFmtId="0" fontId="8" fillId="0" borderId="3" xfId="0" applyFont="1" applyBorder="1" applyAlignment="1">
      <alignment horizontal="left" vertical="center" wrapText="1" indent="1" readingOrder="1"/>
    </xf>
    <xf numFmtId="0" fontId="7" fillId="0" borderId="13" xfId="0" applyFont="1" applyBorder="1" applyAlignment="1">
      <alignment horizontal="right" vertical="center" wrapText="1" indent="1" readingOrder="1"/>
    </xf>
    <xf numFmtId="0" fontId="9" fillId="0" borderId="14" xfId="0" applyFont="1" applyBorder="1" applyAlignment="1">
      <alignment horizontal="left" vertical="center" wrapText="1" indent="1" readingOrder="1"/>
    </xf>
    <xf numFmtId="0" fontId="9" fillId="0" borderId="2" xfId="0" applyFont="1" applyBorder="1" applyAlignment="1">
      <alignment horizontal="right" vertical="center" wrapText="1" indent="1" readingOrder="1"/>
    </xf>
    <xf numFmtId="0" fontId="10" fillId="0" borderId="2" xfId="0" applyFont="1" applyBorder="1" applyAlignment="1">
      <alignment horizontal="right" vertical="center" wrapText="1" indent="1" readingOrder="1"/>
    </xf>
    <xf numFmtId="0" fontId="1" fillId="0" borderId="15" xfId="0" quotePrefix="1" applyFont="1" applyBorder="1" applyAlignment="1">
      <alignment horizontal="center" vertical="center" wrapText="1"/>
    </xf>
    <xf numFmtId="0" fontId="2" fillId="2" borderId="16" xfId="0" applyFont="1" applyFill="1" applyBorder="1" applyAlignment="1">
      <alignment vertical="center" wrapText="1"/>
    </xf>
    <xf numFmtId="0" fontId="1" fillId="2" borderId="16" xfId="0" applyFont="1" applyFill="1" applyBorder="1" applyAlignment="1">
      <alignment vertical="center" wrapText="1"/>
    </xf>
    <xf numFmtId="14" fontId="1" fillId="2" borderId="16" xfId="0" applyNumberFormat="1" applyFont="1" applyFill="1" applyBorder="1" applyAlignment="1">
      <alignment horizontal="right" vertical="center" wrapText="1"/>
    </xf>
    <xf numFmtId="0" fontId="1" fillId="5" borderId="0" xfId="0" applyFont="1" applyFill="1" applyAlignment="1">
      <alignment horizontal="left" vertical="center" wrapText="1"/>
    </xf>
    <xf numFmtId="0" fontId="0" fillId="5" borderId="0" xfId="0" applyFill="1"/>
    <xf numFmtId="0" fontId="7" fillId="5" borderId="0" xfId="0" applyFont="1" applyFill="1"/>
    <xf numFmtId="0" fontId="12" fillId="0" borderId="10" xfId="1" quotePrefix="1" applyFont="1" applyBorder="1" applyAlignment="1">
      <alignment horizontal="center" vertical="center" wrapText="1"/>
    </xf>
    <xf numFmtId="0" fontId="2" fillId="0" borderId="0" xfId="0" applyFont="1"/>
    <xf numFmtId="0" fontId="14" fillId="0" borderId="0" xfId="0" applyFont="1"/>
    <xf numFmtId="0" fontId="1" fillId="0" borderId="0" xfId="0" applyFont="1"/>
    <xf numFmtId="0" fontId="1" fillId="0" borderId="17" xfId="0" applyFont="1" applyBorder="1" applyAlignment="1">
      <alignment horizontal="center" vertical="center"/>
    </xf>
    <xf numFmtId="0" fontId="14" fillId="0" borderId="18" xfId="0" applyFont="1" applyBorder="1"/>
    <xf numFmtId="0" fontId="1" fillId="0" borderId="18" xfId="0" applyFont="1" applyBorder="1"/>
    <xf numFmtId="0" fontId="15" fillId="0" borderId="18" xfId="0" applyFont="1" applyBorder="1" applyAlignment="1">
      <alignment horizontal="center" vertical="center"/>
    </xf>
    <xf numFmtId="0" fontId="17" fillId="0" borderId="18" xfId="0" applyFont="1" applyBorder="1"/>
    <xf numFmtId="0" fontId="18" fillId="0" borderId="18" xfId="0" applyFont="1" applyBorder="1" applyAlignment="1">
      <alignment horizontal="center" vertical="center"/>
    </xf>
    <xf numFmtId="0" fontId="1" fillId="0" borderId="18" xfId="0" applyFont="1" applyBorder="1" applyAlignment="1">
      <alignment horizontal="center"/>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2" fillId="7" borderId="18" xfId="0" applyFont="1" applyFill="1" applyBorder="1" applyAlignment="1">
      <alignment vertical="center"/>
    </xf>
    <xf numFmtId="0" fontId="2" fillId="7" borderId="18" xfId="0" applyFont="1" applyFill="1" applyBorder="1" applyAlignment="1">
      <alignment horizontal="center" vertical="center"/>
    </xf>
    <xf numFmtId="0" fontId="2" fillId="7" borderId="24" xfId="0" applyFont="1" applyFill="1" applyBorder="1" applyAlignment="1">
      <alignment horizontal="center" vertical="center"/>
    </xf>
    <xf numFmtId="0" fontId="2" fillId="7" borderId="16" xfId="0" applyFont="1" applyFill="1" applyBorder="1" applyAlignment="1">
      <alignment horizontal="center" vertical="center"/>
    </xf>
    <xf numFmtId="9" fontId="1" fillId="0" borderId="18" xfId="0" applyNumberFormat="1" applyFont="1" applyBorder="1" applyAlignment="1">
      <alignment horizontal="center" vertical="center"/>
    </xf>
    <xf numFmtId="0" fontId="4" fillId="8" borderId="16" xfId="0" applyFont="1" applyFill="1" applyBorder="1" applyAlignment="1">
      <alignment horizontal="center" vertical="center"/>
    </xf>
    <xf numFmtId="0" fontId="1" fillId="4" borderId="18" xfId="0" applyFont="1" applyFill="1" applyBorder="1" applyAlignment="1">
      <alignment horizontal="center"/>
    </xf>
    <xf numFmtId="0" fontId="4" fillId="9" borderId="16" xfId="0" applyFont="1" applyFill="1" applyBorder="1" applyAlignment="1">
      <alignment horizontal="center" vertical="center"/>
    </xf>
    <xf numFmtId="0" fontId="1" fillId="5" borderId="18" xfId="0" applyFont="1" applyFill="1" applyBorder="1" applyAlignment="1">
      <alignment horizontal="center"/>
    </xf>
    <xf numFmtId="0" fontId="1" fillId="10" borderId="18" xfId="0" applyFont="1" applyFill="1" applyBorder="1" applyAlignment="1">
      <alignment horizontal="center"/>
    </xf>
    <xf numFmtId="0" fontId="4" fillId="11" borderId="16" xfId="0" applyFont="1" applyFill="1" applyBorder="1" applyAlignment="1">
      <alignment horizontal="center" vertical="center"/>
    </xf>
    <xf numFmtId="0" fontId="4" fillId="12" borderId="16" xfId="0" applyFont="1" applyFill="1" applyBorder="1" applyAlignment="1">
      <alignment horizontal="center" vertical="center"/>
    </xf>
    <xf numFmtId="0" fontId="4" fillId="13" borderId="16" xfId="0" applyFont="1" applyFill="1" applyBorder="1" applyAlignment="1">
      <alignment horizontal="center" vertical="center"/>
    </xf>
    <xf numFmtId="0" fontId="9" fillId="0" borderId="3" xfId="0" applyFont="1" applyBorder="1" applyAlignment="1">
      <alignment horizontal="right" vertical="center" wrapText="1" indent="1" readingOrder="1"/>
    </xf>
    <xf numFmtId="0" fontId="9" fillId="0" borderId="13" xfId="0" applyFont="1" applyBorder="1" applyAlignment="1">
      <alignment horizontal="right" vertical="center" wrapText="1" indent="1" readingOrder="1"/>
    </xf>
    <xf numFmtId="0" fontId="9" fillId="0" borderId="14" xfId="0" applyFont="1" applyBorder="1" applyAlignment="1">
      <alignment horizontal="right" vertical="center" wrapText="1" indent="1" readingOrder="1"/>
    </xf>
    <xf numFmtId="0" fontId="10" fillId="0" borderId="3" xfId="0" applyFont="1" applyBorder="1" applyAlignment="1">
      <alignment horizontal="right" vertical="center" wrapText="1" indent="1" readingOrder="1"/>
    </xf>
    <xf numFmtId="0" fontId="10" fillId="0" borderId="13" xfId="0" applyFont="1" applyBorder="1" applyAlignment="1">
      <alignment horizontal="right" vertical="center" wrapText="1" indent="1" readingOrder="1"/>
    </xf>
    <xf numFmtId="0" fontId="10" fillId="0" borderId="14" xfId="0" applyFont="1" applyBorder="1" applyAlignment="1">
      <alignment horizontal="right" vertical="center" wrapText="1" indent="1" readingOrder="1"/>
    </xf>
    <xf numFmtId="0" fontId="8" fillId="0" borderId="3" xfId="0" applyFont="1" applyBorder="1" applyAlignment="1">
      <alignment horizontal="right" vertical="center" wrapText="1" indent="1" readingOrder="1"/>
    </xf>
    <xf numFmtId="0" fontId="8" fillId="0" borderId="13" xfId="0" applyFont="1" applyBorder="1" applyAlignment="1">
      <alignment horizontal="right" vertical="center" wrapText="1" indent="1" readingOrder="1"/>
    </xf>
    <xf numFmtId="0" fontId="8" fillId="0" borderId="14" xfId="0" applyFont="1" applyBorder="1" applyAlignment="1">
      <alignment horizontal="right" vertical="center" wrapText="1" indent="1" readingOrder="1"/>
    </xf>
    <xf numFmtId="0" fontId="19" fillId="0" borderId="24" xfId="0" applyFont="1" applyBorder="1" applyAlignment="1">
      <alignment horizontal="left"/>
    </xf>
    <xf numFmtId="0" fontId="16" fillId="0" borderId="25" xfId="0" applyFont="1" applyBorder="1"/>
    <xf numFmtId="0" fontId="16" fillId="0" borderId="26" xfId="0" applyFont="1" applyBorder="1"/>
    <xf numFmtId="0" fontId="13" fillId="6" borderId="0" xfId="0" applyFont="1" applyFill="1" applyAlignment="1">
      <alignment horizontal="center"/>
    </xf>
    <xf numFmtId="0" fontId="12" fillId="0" borderId="0" xfId="0" applyFont="1"/>
    <xf numFmtId="0" fontId="1" fillId="0" borderId="17" xfId="0" applyFont="1" applyBorder="1" applyAlignment="1">
      <alignment horizontal="center" vertical="center"/>
    </xf>
    <xf numFmtId="0" fontId="16" fillId="0" borderId="19" xfId="0" applyFont="1" applyBorder="1"/>
    <xf numFmtId="0" fontId="16" fillId="0" borderId="20" xfId="0" applyFont="1" applyBorder="1"/>
    <xf numFmtId="0" fontId="19" fillId="0" borderId="21" xfId="0" applyFont="1" applyBorder="1" applyAlignment="1">
      <alignment horizontal="left"/>
    </xf>
    <xf numFmtId="0" fontId="16" fillId="0" borderId="22" xfId="0" applyFont="1" applyBorder="1"/>
    <xf numFmtId="0" fontId="16" fillId="0" borderId="23" xfId="0" applyFont="1" applyBorder="1"/>
    <xf numFmtId="0" fontId="1" fillId="0" borderId="24" xfId="0" applyFont="1" applyBorder="1" applyAlignment="1">
      <alignment horizontal="left"/>
    </xf>
  </cellXfs>
  <cellStyles count="2">
    <cellStyle name="Hyperlink" xfId="1" builtinId="8"/>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vdang972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4"/>
  <sheetViews>
    <sheetView zoomScale="98" zoomScaleNormal="98" workbookViewId="0">
      <selection activeCell="T4" sqref="T4"/>
    </sheetView>
  </sheetViews>
  <sheetFormatPr defaultRowHeight="14.4" x14ac:dyDescent="0.3"/>
  <cols>
    <col min="2" max="2" width="20.44140625" customWidth="1"/>
    <col min="3" max="3" width="23.33203125" customWidth="1"/>
    <col min="4" max="4" width="24.109375" customWidth="1"/>
    <col min="5" max="5" width="33.6640625" customWidth="1"/>
    <col min="6" max="7" width="19.44140625" customWidth="1"/>
    <col min="8" max="8" width="12.44140625" customWidth="1"/>
    <col min="9" max="9" width="26" customWidth="1"/>
    <col min="11" max="11" width="13.88671875" customWidth="1"/>
    <col min="12" max="12" width="11.44140625" customWidth="1"/>
    <col min="14" max="14" width="15.6640625" customWidth="1"/>
    <col min="18" max="18" width="19.5546875" customWidth="1"/>
    <col min="19" max="19" width="16.5546875" customWidth="1"/>
    <col min="20" max="20" width="17" customWidth="1"/>
    <col min="21" max="21" width="16.5546875" customWidth="1"/>
    <col min="23" max="23" width="15.88671875" customWidth="1"/>
    <col min="24" max="24" width="18.5546875" customWidth="1"/>
    <col min="25" max="25" width="14.88671875" customWidth="1"/>
    <col min="26" max="26" width="15.44140625" customWidth="1"/>
    <col min="27" max="27" width="12.33203125" customWidth="1"/>
  </cols>
  <sheetData>
    <row r="1" spans="1:27" ht="31.8" thickBot="1" x14ac:dyDescent="0.35">
      <c r="A1" s="1" t="s">
        <v>0</v>
      </c>
      <c r="B1" s="2" t="s">
        <v>1</v>
      </c>
    </row>
    <row r="2" spans="1:27" ht="31.8" thickBot="1" x14ac:dyDescent="0.35">
      <c r="A2" s="1" t="s">
        <v>2</v>
      </c>
      <c r="B2" s="2" t="s">
        <v>7</v>
      </c>
    </row>
    <row r="3" spans="1:27" ht="31.8" thickBot="1" x14ac:dyDescent="0.35">
      <c r="A3" s="1" t="s">
        <v>3</v>
      </c>
      <c r="B3" s="2" t="s">
        <v>8</v>
      </c>
    </row>
    <row r="4" spans="1:27" ht="31.8" thickBot="1" x14ac:dyDescent="0.35">
      <c r="A4" s="1" t="s">
        <v>4</v>
      </c>
      <c r="B4" s="3">
        <v>45976</v>
      </c>
    </row>
    <row r="5" spans="1:27" ht="31.8" thickBot="1" x14ac:dyDescent="0.35">
      <c r="A5" s="1" t="s">
        <v>5</v>
      </c>
      <c r="B5" s="2" t="s">
        <v>74</v>
      </c>
    </row>
    <row r="6" spans="1:27" ht="31.8" thickBot="1" x14ac:dyDescent="0.35">
      <c r="A6" s="1" t="s">
        <v>6</v>
      </c>
      <c r="B6" s="3">
        <v>45981</v>
      </c>
      <c r="K6" s="20" t="s">
        <v>110</v>
      </c>
      <c r="L6" s="21"/>
      <c r="M6" s="21"/>
      <c r="N6" s="21"/>
      <c r="O6" s="21"/>
      <c r="P6" s="21"/>
      <c r="R6" s="20" t="s">
        <v>111</v>
      </c>
      <c r="S6" s="21"/>
      <c r="T6" s="21"/>
      <c r="U6" s="21"/>
      <c r="W6" s="20" t="s">
        <v>129</v>
      </c>
      <c r="X6" s="21"/>
      <c r="Y6" s="21"/>
      <c r="Z6" s="21"/>
      <c r="AA6" s="21"/>
    </row>
    <row r="7" spans="1:27" ht="15" thickBot="1" x14ac:dyDescent="0.35">
      <c r="K7" s="21"/>
      <c r="L7" s="21"/>
      <c r="M7" s="21"/>
      <c r="N7" s="21"/>
      <c r="O7" s="21"/>
      <c r="P7" s="21"/>
      <c r="R7" s="21"/>
      <c r="S7" s="21"/>
      <c r="T7" s="21"/>
      <c r="U7" s="21"/>
      <c r="W7" s="21"/>
      <c r="X7" s="21"/>
      <c r="Y7" s="21"/>
      <c r="Z7" s="21"/>
      <c r="AA7" s="21"/>
    </row>
    <row r="8" spans="1:27" ht="55.8" thickBot="1" x14ac:dyDescent="0.35">
      <c r="A8" s="4" t="s">
        <v>9</v>
      </c>
      <c r="B8" s="4" t="s">
        <v>10</v>
      </c>
      <c r="C8" s="5" t="s">
        <v>11</v>
      </c>
      <c r="D8" s="4" t="s">
        <v>12</v>
      </c>
      <c r="E8" s="4" t="s">
        <v>13</v>
      </c>
      <c r="F8" s="4" t="s">
        <v>14</v>
      </c>
      <c r="G8" s="4" t="s">
        <v>15</v>
      </c>
      <c r="H8" s="4" t="s">
        <v>16</v>
      </c>
      <c r="I8" s="4" t="s">
        <v>17</v>
      </c>
      <c r="K8" s="22" t="s">
        <v>83</v>
      </c>
      <c r="L8" s="22" t="s">
        <v>84</v>
      </c>
      <c r="M8" s="22" t="s">
        <v>85</v>
      </c>
      <c r="N8" s="22" t="s">
        <v>86</v>
      </c>
      <c r="O8" s="22" t="s">
        <v>9</v>
      </c>
      <c r="P8" s="22" t="s">
        <v>79</v>
      </c>
      <c r="R8" s="22" t="s">
        <v>101</v>
      </c>
      <c r="S8" s="22" t="s">
        <v>102</v>
      </c>
      <c r="T8" s="22" t="s">
        <v>103</v>
      </c>
      <c r="U8" s="22" t="s">
        <v>104</v>
      </c>
      <c r="W8" s="22" t="s">
        <v>112</v>
      </c>
      <c r="X8" s="22" t="s">
        <v>113</v>
      </c>
      <c r="Y8" s="22" t="s">
        <v>114</v>
      </c>
      <c r="Z8" s="22" t="s">
        <v>115</v>
      </c>
      <c r="AA8" s="22" t="s">
        <v>114</v>
      </c>
    </row>
    <row r="9" spans="1:27" ht="97.5" customHeight="1" thickBot="1" x14ac:dyDescent="0.35">
      <c r="A9" s="6" t="s">
        <v>21</v>
      </c>
      <c r="B9" s="7" t="s">
        <v>35</v>
      </c>
      <c r="C9" s="8" t="s">
        <v>18</v>
      </c>
      <c r="D9" s="9" t="s">
        <v>189</v>
      </c>
      <c r="E9" s="10" t="s">
        <v>67</v>
      </c>
      <c r="F9" s="11" t="s">
        <v>69</v>
      </c>
      <c r="G9" s="12" t="s">
        <v>191</v>
      </c>
      <c r="H9" s="13" t="s">
        <v>19</v>
      </c>
      <c r="I9" s="6" t="s">
        <v>62</v>
      </c>
      <c r="K9" s="23" t="s">
        <v>82</v>
      </c>
      <c r="L9" s="61" t="s">
        <v>88</v>
      </c>
      <c r="M9" s="61" t="s">
        <v>89</v>
      </c>
      <c r="N9" s="64">
        <v>123456789</v>
      </c>
      <c r="O9" s="67" t="s">
        <v>25</v>
      </c>
      <c r="P9" s="61" t="s">
        <v>90</v>
      </c>
      <c r="R9" s="22" t="s">
        <v>357</v>
      </c>
      <c r="S9" s="22" t="s">
        <v>105</v>
      </c>
      <c r="T9" s="26" t="s">
        <v>106</v>
      </c>
      <c r="U9" s="26" t="s">
        <v>106</v>
      </c>
      <c r="W9" s="22" t="s">
        <v>362</v>
      </c>
      <c r="X9" s="26" t="s">
        <v>116</v>
      </c>
      <c r="Y9" s="26">
        <v>1</v>
      </c>
      <c r="Z9" s="26" t="s">
        <v>80</v>
      </c>
      <c r="AA9" s="26">
        <v>6</v>
      </c>
    </row>
    <row r="10" spans="1:27" ht="78.599999999999994" thickBot="1" x14ac:dyDescent="0.35">
      <c r="A10" s="6" t="s">
        <v>22</v>
      </c>
      <c r="B10" s="7" t="s">
        <v>36</v>
      </c>
      <c r="C10" s="14" t="s">
        <v>18</v>
      </c>
      <c r="D10" s="15" t="s">
        <v>190</v>
      </c>
      <c r="E10" s="16" t="s">
        <v>49</v>
      </c>
      <c r="F10" s="11" t="s">
        <v>70</v>
      </c>
      <c r="G10" s="12" t="s">
        <v>192</v>
      </c>
      <c r="H10" s="13" t="s">
        <v>19</v>
      </c>
      <c r="I10" s="6" t="s">
        <v>62</v>
      </c>
      <c r="K10" s="24"/>
      <c r="L10" s="62"/>
      <c r="M10" s="62"/>
      <c r="N10" s="65"/>
      <c r="O10" s="68"/>
      <c r="P10" s="62"/>
      <c r="R10" s="22" t="s">
        <v>358</v>
      </c>
      <c r="S10" s="26" t="s">
        <v>107</v>
      </c>
      <c r="T10" s="22" t="s">
        <v>106</v>
      </c>
      <c r="U10" s="22" t="s">
        <v>105</v>
      </c>
      <c r="W10" s="22" t="s">
        <v>117</v>
      </c>
      <c r="X10" s="26" t="s">
        <v>118</v>
      </c>
      <c r="Y10" s="26">
        <v>2</v>
      </c>
      <c r="Z10" s="26" t="s">
        <v>119</v>
      </c>
      <c r="AA10" s="26">
        <v>7</v>
      </c>
    </row>
    <row r="11" spans="1:27" ht="54.75" customHeight="1" thickBot="1" x14ac:dyDescent="0.35">
      <c r="A11" s="6" t="s">
        <v>23</v>
      </c>
      <c r="B11" s="7" t="s">
        <v>37</v>
      </c>
      <c r="C11" s="14" t="s">
        <v>18</v>
      </c>
      <c r="D11" s="15" t="s">
        <v>189</v>
      </c>
      <c r="E11" s="16" t="s">
        <v>50</v>
      </c>
      <c r="F11" s="18" t="s">
        <v>54</v>
      </c>
      <c r="G11" s="12" t="s">
        <v>192</v>
      </c>
      <c r="H11" s="13" t="s">
        <v>19</v>
      </c>
      <c r="I11" s="6" t="s">
        <v>62</v>
      </c>
      <c r="K11" s="25" t="s">
        <v>87</v>
      </c>
      <c r="L11" s="63"/>
      <c r="M11" s="63"/>
      <c r="N11" s="66"/>
      <c r="O11" s="69"/>
      <c r="P11" s="63"/>
      <c r="R11" s="22" t="s">
        <v>359</v>
      </c>
      <c r="S11" s="22" t="s">
        <v>108</v>
      </c>
      <c r="T11" s="26"/>
      <c r="U11" s="26"/>
      <c r="W11" s="22" t="s">
        <v>120</v>
      </c>
      <c r="X11" s="26" t="s">
        <v>121</v>
      </c>
      <c r="Y11" s="26">
        <v>3</v>
      </c>
      <c r="Z11" s="26" t="s">
        <v>122</v>
      </c>
      <c r="AA11" s="26">
        <v>8</v>
      </c>
    </row>
    <row r="12" spans="1:27" ht="47.4" thickBot="1" x14ac:dyDescent="0.35">
      <c r="A12" s="6" t="s">
        <v>24</v>
      </c>
      <c r="B12" s="7" t="s">
        <v>38</v>
      </c>
      <c r="C12" s="14" t="s">
        <v>18</v>
      </c>
      <c r="D12" s="15" t="s">
        <v>189</v>
      </c>
      <c r="E12" s="16" t="s">
        <v>68</v>
      </c>
      <c r="F12" s="17" t="s">
        <v>55</v>
      </c>
      <c r="G12" s="12" t="s">
        <v>191</v>
      </c>
      <c r="H12" s="6" t="s">
        <v>20</v>
      </c>
      <c r="I12" s="6" t="s">
        <v>62</v>
      </c>
      <c r="K12" s="26"/>
      <c r="L12" s="26" t="s">
        <v>91</v>
      </c>
      <c r="M12" s="26" t="s">
        <v>92</v>
      </c>
      <c r="N12" s="27">
        <v>901234567</v>
      </c>
      <c r="O12" s="22" t="s">
        <v>26</v>
      </c>
      <c r="P12" s="26" t="s">
        <v>81</v>
      </c>
      <c r="R12" s="22" t="s">
        <v>360</v>
      </c>
      <c r="S12" s="26"/>
      <c r="T12" s="22" t="s">
        <v>108</v>
      </c>
      <c r="U12" s="26"/>
      <c r="W12" s="22" t="s">
        <v>123</v>
      </c>
      <c r="X12" s="26" t="s">
        <v>124</v>
      </c>
      <c r="Y12" s="26">
        <v>4</v>
      </c>
      <c r="Z12" s="26" t="s">
        <v>125</v>
      </c>
      <c r="AA12" s="26">
        <v>9</v>
      </c>
    </row>
    <row r="13" spans="1:27" ht="64.5" customHeight="1" thickBot="1" x14ac:dyDescent="0.35">
      <c r="A13" s="6" t="s">
        <v>25</v>
      </c>
      <c r="B13" s="7" t="s">
        <v>39</v>
      </c>
      <c r="C13" s="14" t="s">
        <v>18</v>
      </c>
      <c r="D13" s="15" t="s">
        <v>189</v>
      </c>
      <c r="E13" s="16" t="s">
        <v>51</v>
      </c>
      <c r="F13" s="17" t="s">
        <v>71</v>
      </c>
      <c r="G13" s="12" t="s">
        <v>191</v>
      </c>
      <c r="H13" s="6" t="s">
        <v>20</v>
      </c>
      <c r="I13" s="6" t="s">
        <v>63</v>
      </c>
      <c r="K13" s="26"/>
      <c r="L13" s="26" t="s">
        <v>93</v>
      </c>
      <c r="M13" s="26" t="s">
        <v>94</v>
      </c>
      <c r="N13" s="27">
        <v>90123456789</v>
      </c>
      <c r="O13" s="22" t="s">
        <v>27</v>
      </c>
      <c r="P13" s="26" t="s">
        <v>95</v>
      </c>
      <c r="R13" s="22" t="s">
        <v>361</v>
      </c>
      <c r="S13" s="26"/>
      <c r="T13" s="26"/>
      <c r="U13" s="22" t="s">
        <v>108</v>
      </c>
      <c r="W13" s="22" t="s">
        <v>126</v>
      </c>
      <c r="X13" s="26" t="s">
        <v>127</v>
      </c>
      <c r="Y13" s="26">
        <v>5</v>
      </c>
      <c r="Z13" s="26" t="s">
        <v>128</v>
      </c>
      <c r="AA13" s="26">
        <v>10</v>
      </c>
    </row>
    <row r="14" spans="1:27" ht="55.5" customHeight="1" thickBot="1" x14ac:dyDescent="0.35">
      <c r="A14" s="6" t="s">
        <v>26</v>
      </c>
      <c r="B14" s="7" t="s">
        <v>40</v>
      </c>
      <c r="C14" s="14" t="s">
        <v>18</v>
      </c>
      <c r="D14" s="15" t="s">
        <v>189</v>
      </c>
      <c r="E14" s="16" t="s">
        <v>52</v>
      </c>
      <c r="F14" s="17" t="s">
        <v>57</v>
      </c>
      <c r="G14" s="12" t="s">
        <v>191</v>
      </c>
      <c r="H14" s="13" t="s">
        <v>19</v>
      </c>
      <c r="I14" s="6" t="s">
        <v>63</v>
      </c>
      <c r="K14" s="23" t="s">
        <v>96</v>
      </c>
      <c r="L14" s="61" t="s">
        <v>93</v>
      </c>
      <c r="M14" s="61" t="s">
        <v>98</v>
      </c>
      <c r="N14" s="61" t="s">
        <v>99</v>
      </c>
      <c r="O14" s="67" t="s">
        <v>28</v>
      </c>
      <c r="P14" s="61" t="s">
        <v>100</v>
      </c>
      <c r="R14" s="22" t="s">
        <v>109</v>
      </c>
      <c r="S14" s="22" t="s">
        <v>29</v>
      </c>
      <c r="T14" s="22" t="s">
        <v>30</v>
      </c>
      <c r="U14" s="22" t="s">
        <v>31</v>
      </c>
    </row>
    <row r="15" spans="1:27" ht="70.5" customHeight="1" thickBot="1" x14ac:dyDescent="0.35">
      <c r="A15" s="6" t="s">
        <v>27</v>
      </c>
      <c r="B15" s="7" t="s">
        <v>41</v>
      </c>
      <c r="C15" s="14" t="s">
        <v>18</v>
      </c>
      <c r="D15" s="15" t="s">
        <v>189</v>
      </c>
      <c r="E15" s="16" t="s">
        <v>53</v>
      </c>
      <c r="F15" s="17" t="s">
        <v>56</v>
      </c>
      <c r="G15" s="12" t="s">
        <v>191</v>
      </c>
      <c r="H15" s="6" t="s">
        <v>20</v>
      </c>
      <c r="I15" s="6" t="s">
        <v>63</v>
      </c>
      <c r="K15" s="24"/>
      <c r="L15" s="62"/>
      <c r="M15" s="62"/>
      <c r="N15" s="62"/>
      <c r="O15" s="68"/>
      <c r="P15" s="62"/>
    </row>
    <row r="16" spans="1:27" ht="63" thickBot="1" x14ac:dyDescent="0.35">
      <c r="A16" s="6" t="s">
        <v>28</v>
      </c>
      <c r="B16" s="7" t="s">
        <v>42</v>
      </c>
      <c r="C16" s="14" t="s">
        <v>18</v>
      </c>
      <c r="D16" s="15" t="s">
        <v>189</v>
      </c>
      <c r="E16" s="16" t="s">
        <v>72</v>
      </c>
      <c r="F16" s="17" t="s">
        <v>58</v>
      </c>
      <c r="G16" s="12" t="s">
        <v>191</v>
      </c>
      <c r="H16" s="13" t="s">
        <v>19</v>
      </c>
      <c r="I16" s="6" t="s">
        <v>63</v>
      </c>
      <c r="K16" s="25" t="s">
        <v>97</v>
      </c>
      <c r="L16" s="63"/>
      <c r="M16" s="63"/>
      <c r="N16" s="63"/>
      <c r="O16" s="69"/>
      <c r="P16" s="63"/>
    </row>
    <row r="17" spans="1:9" ht="83.25" customHeight="1" thickBot="1" x14ac:dyDescent="0.35">
      <c r="A17" s="6" t="s">
        <v>29</v>
      </c>
      <c r="B17" s="7" t="s">
        <v>43</v>
      </c>
      <c r="C17" s="14" t="s">
        <v>18</v>
      </c>
      <c r="D17" s="15" t="s">
        <v>189</v>
      </c>
      <c r="E17" s="19" t="s">
        <v>73</v>
      </c>
      <c r="F17" s="12" t="s">
        <v>59</v>
      </c>
      <c r="G17" s="12" t="s">
        <v>192</v>
      </c>
      <c r="H17" s="13" t="s">
        <v>19</v>
      </c>
      <c r="I17" s="6" t="s">
        <v>64</v>
      </c>
    </row>
    <row r="18" spans="1:9" ht="47.4" thickBot="1" x14ac:dyDescent="0.35">
      <c r="A18" s="6" t="s">
        <v>30</v>
      </c>
      <c r="B18" s="7" t="s">
        <v>44</v>
      </c>
      <c r="C18" s="14" t="s">
        <v>18</v>
      </c>
      <c r="D18" s="15" t="s">
        <v>189</v>
      </c>
      <c r="E18" s="16" t="s">
        <v>75</v>
      </c>
      <c r="F18" s="12" t="s">
        <v>60</v>
      </c>
      <c r="G18" s="12" t="s">
        <v>192</v>
      </c>
      <c r="H18" s="13" t="s">
        <v>19</v>
      </c>
      <c r="I18" s="6" t="s">
        <v>65</v>
      </c>
    </row>
    <row r="19" spans="1:9" ht="55.5" customHeight="1" thickBot="1" x14ac:dyDescent="0.35">
      <c r="A19" s="6" t="s">
        <v>31</v>
      </c>
      <c r="B19" s="7" t="s">
        <v>45</v>
      </c>
      <c r="C19" s="14" t="s">
        <v>18</v>
      </c>
      <c r="D19" s="15" t="s">
        <v>189</v>
      </c>
      <c r="E19" s="16" t="s">
        <v>76</v>
      </c>
      <c r="F19" s="12" t="s">
        <v>61</v>
      </c>
      <c r="G19" s="12" t="s">
        <v>191</v>
      </c>
      <c r="H19" s="13" t="s">
        <v>19</v>
      </c>
      <c r="I19" s="6" t="s">
        <v>65</v>
      </c>
    </row>
    <row r="20" spans="1:9" ht="47.4" thickBot="1" x14ac:dyDescent="0.35">
      <c r="A20" s="6" t="s">
        <v>32</v>
      </c>
      <c r="B20" s="7" t="s">
        <v>46</v>
      </c>
      <c r="C20" s="14" t="s">
        <v>18</v>
      </c>
      <c r="D20" s="15" t="s">
        <v>189</v>
      </c>
      <c r="E20" s="16" t="s">
        <v>77</v>
      </c>
      <c r="F20" s="12" t="s">
        <v>196</v>
      </c>
      <c r="G20" s="12" t="s">
        <v>191</v>
      </c>
      <c r="H20" s="13" t="s">
        <v>19</v>
      </c>
      <c r="I20" s="6" t="s">
        <v>66</v>
      </c>
    </row>
    <row r="21" spans="1:9" ht="95.25" customHeight="1" thickBot="1" x14ac:dyDescent="0.35">
      <c r="A21" s="6" t="s">
        <v>33</v>
      </c>
      <c r="B21" s="7" t="s">
        <v>47</v>
      </c>
      <c r="C21" s="14" t="s">
        <v>18</v>
      </c>
      <c r="D21" s="15" t="s">
        <v>189</v>
      </c>
      <c r="E21" s="16" t="s">
        <v>78</v>
      </c>
      <c r="F21" s="12" t="s">
        <v>196</v>
      </c>
      <c r="G21" s="12" t="s">
        <v>191</v>
      </c>
      <c r="H21" s="13" t="s">
        <v>19</v>
      </c>
      <c r="I21" s="6" t="s">
        <v>66</v>
      </c>
    </row>
    <row r="22" spans="1:9" ht="86.25" customHeight="1" thickBot="1" x14ac:dyDescent="0.35">
      <c r="A22" s="6" t="s">
        <v>34</v>
      </c>
      <c r="B22" s="7" t="s">
        <v>48</v>
      </c>
      <c r="C22" s="14" t="s">
        <v>18</v>
      </c>
      <c r="D22" s="15" t="s">
        <v>189</v>
      </c>
      <c r="E22" s="16" t="s">
        <v>195</v>
      </c>
      <c r="F22" s="12" t="s">
        <v>194</v>
      </c>
      <c r="G22" s="12" t="s">
        <v>191</v>
      </c>
      <c r="H22" s="13" t="s">
        <v>19</v>
      </c>
      <c r="I22" s="6" t="s">
        <v>64</v>
      </c>
    </row>
    <row r="23" spans="1:9" ht="83.25" customHeight="1" thickBot="1" x14ac:dyDescent="0.35">
      <c r="A23" s="6" t="s">
        <v>130</v>
      </c>
      <c r="B23" s="7" t="s">
        <v>153</v>
      </c>
      <c r="C23" s="14" t="s">
        <v>18</v>
      </c>
      <c r="D23" s="15" t="s">
        <v>189</v>
      </c>
      <c r="E23" s="16" t="s">
        <v>166</v>
      </c>
      <c r="F23" s="12" t="s">
        <v>188</v>
      </c>
      <c r="G23" s="12" t="s">
        <v>191</v>
      </c>
      <c r="H23" s="13" t="s">
        <v>20</v>
      </c>
      <c r="I23" s="6" t="s">
        <v>64</v>
      </c>
    </row>
    <row r="24" spans="1:9" ht="69" customHeight="1" thickBot="1" x14ac:dyDescent="0.35">
      <c r="A24" s="6" t="s">
        <v>131</v>
      </c>
      <c r="B24" s="7" t="s">
        <v>154</v>
      </c>
      <c r="C24" s="14" t="s">
        <v>18</v>
      </c>
      <c r="D24" s="15" t="s">
        <v>189</v>
      </c>
      <c r="E24" s="16" t="s">
        <v>167</v>
      </c>
      <c r="F24" s="12" t="s">
        <v>186</v>
      </c>
      <c r="G24" s="12" t="s">
        <v>191</v>
      </c>
      <c r="H24" s="13" t="s">
        <v>19</v>
      </c>
      <c r="I24" s="6" t="s">
        <v>64</v>
      </c>
    </row>
    <row r="25" spans="1:9" ht="63" thickBot="1" x14ac:dyDescent="0.35">
      <c r="A25" s="6" t="s">
        <v>132</v>
      </c>
      <c r="B25" s="7" t="s">
        <v>155</v>
      </c>
      <c r="C25" s="14" t="s">
        <v>18</v>
      </c>
      <c r="D25" s="15" t="s">
        <v>189</v>
      </c>
      <c r="E25" s="16" t="s">
        <v>168</v>
      </c>
      <c r="F25" s="12" t="s">
        <v>176</v>
      </c>
      <c r="G25" s="12" t="s">
        <v>191</v>
      </c>
      <c r="H25" s="13" t="s">
        <v>19</v>
      </c>
      <c r="I25" s="6" t="s">
        <v>64</v>
      </c>
    </row>
    <row r="26" spans="1:9" ht="69" customHeight="1" thickBot="1" x14ac:dyDescent="0.35">
      <c r="A26" s="6" t="s">
        <v>133</v>
      </c>
      <c r="B26" s="7" t="s">
        <v>134</v>
      </c>
      <c r="C26" s="14" t="s">
        <v>18</v>
      </c>
      <c r="D26" s="15" t="s">
        <v>189</v>
      </c>
      <c r="E26" s="16" t="s">
        <v>169</v>
      </c>
      <c r="F26" s="12" t="s">
        <v>177</v>
      </c>
      <c r="G26" s="12" t="s">
        <v>191</v>
      </c>
      <c r="H26" s="13" t="s">
        <v>19</v>
      </c>
      <c r="I26" s="6" t="s">
        <v>64</v>
      </c>
    </row>
    <row r="27" spans="1:9" ht="47.4" thickBot="1" x14ac:dyDescent="0.35">
      <c r="A27" s="6" t="s">
        <v>135</v>
      </c>
      <c r="B27" s="7" t="s">
        <v>156</v>
      </c>
      <c r="C27" s="14" t="s">
        <v>18</v>
      </c>
      <c r="D27" s="15" t="s">
        <v>189</v>
      </c>
      <c r="E27" s="16" t="s">
        <v>136</v>
      </c>
      <c r="F27" s="12" t="s">
        <v>187</v>
      </c>
      <c r="G27" s="12" t="s">
        <v>191</v>
      </c>
      <c r="H27" s="13" t="s">
        <v>20</v>
      </c>
      <c r="I27" s="6" t="s">
        <v>64</v>
      </c>
    </row>
    <row r="28" spans="1:9" ht="61.5" customHeight="1" thickBot="1" x14ac:dyDescent="0.35">
      <c r="A28" s="6" t="s">
        <v>137</v>
      </c>
      <c r="B28" s="7" t="s">
        <v>157</v>
      </c>
      <c r="C28" s="14" t="s">
        <v>18</v>
      </c>
      <c r="D28" s="15" t="s">
        <v>189</v>
      </c>
      <c r="E28" s="16" t="s">
        <v>170</v>
      </c>
      <c r="F28" s="12" t="s">
        <v>178</v>
      </c>
      <c r="G28" s="12" t="s">
        <v>191</v>
      </c>
      <c r="H28" s="13" t="s">
        <v>20</v>
      </c>
      <c r="I28" s="6" t="s">
        <v>64</v>
      </c>
    </row>
    <row r="29" spans="1:9" ht="63.75" customHeight="1" thickBot="1" x14ac:dyDescent="0.35">
      <c r="A29" s="6" t="s">
        <v>138</v>
      </c>
      <c r="B29" s="7" t="s">
        <v>139</v>
      </c>
      <c r="C29" s="14" t="s">
        <v>18</v>
      </c>
      <c r="D29" s="15" t="s">
        <v>189</v>
      </c>
      <c r="E29" s="16" t="s">
        <v>171</v>
      </c>
      <c r="F29" s="12" t="s">
        <v>179</v>
      </c>
      <c r="G29" s="12" t="s">
        <v>191</v>
      </c>
      <c r="H29" s="13" t="s">
        <v>19</v>
      </c>
      <c r="I29" s="6" t="s">
        <v>64</v>
      </c>
    </row>
    <row r="30" spans="1:9" ht="62.25" customHeight="1" thickBot="1" x14ac:dyDescent="0.35">
      <c r="A30" s="6" t="s">
        <v>140</v>
      </c>
      <c r="B30" s="7" t="s">
        <v>158</v>
      </c>
      <c r="C30" s="14" t="s">
        <v>18</v>
      </c>
      <c r="D30" s="15" t="s">
        <v>189</v>
      </c>
      <c r="E30" s="16" t="s">
        <v>141</v>
      </c>
      <c r="F30" s="12" t="s">
        <v>180</v>
      </c>
      <c r="G30" s="12" t="s">
        <v>191</v>
      </c>
      <c r="H30" s="13" t="s">
        <v>19</v>
      </c>
      <c r="I30" s="6" t="s">
        <v>64</v>
      </c>
    </row>
    <row r="31" spans="1:9" ht="47.4" thickBot="1" x14ac:dyDescent="0.35">
      <c r="A31" s="6" t="s">
        <v>142</v>
      </c>
      <c r="B31" s="7" t="s">
        <v>159</v>
      </c>
      <c r="C31" s="14" t="s">
        <v>18</v>
      </c>
      <c r="D31" s="15" t="s">
        <v>189</v>
      </c>
      <c r="E31" s="16" t="s">
        <v>172</v>
      </c>
      <c r="F31" s="12" t="s">
        <v>181</v>
      </c>
      <c r="G31" s="12" t="s">
        <v>191</v>
      </c>
      <c r="H31" s="13" t="s">
        <v>19</v>
      </c>
      <c r="I31" s="6" t="s">
        <v>64</v>
      </c>
    </row>
    <row r="32" spans="1:9" ht="79.5" customHeight="1" thickBot="1" x14ac:dyDescent="0.35">
      <c r="A32" s="6" t="s">
        <v>143</v>
      </c>
      <c r="B32" s="7" t="s">
        <v>160</v>
      </c>
      <c r="C32" s="14" t="s">
        <v>18</v>
      </c>
      <c r="D32" s="15" t="s">
        <v>189</v>
      </c>
      <c r="E32" s="16" t="s">
        <v>173</v>
      </c>
      <c r="F32" s="12" t="s">
        <v>196</v>
      </c>
      <c r="G32" s="12" t="s">
        <v>191</v>
      </c>
      <c r="H32" s="13" t="s">
        <v>19</v>
      </c>
      <c r="I32" s="6" t="s">
        <v>64</v>
      </c>
    </row>
    <row r="33" spans="1:9" ht="76.5" customHeight="1" thickBot="1" x14ac:dyDescent="0.35">
      <c r="A33" s="6" t="s">
        <v>144</v>
      </c>
      <c r="B33" s="7" t="s">
        <v>161</v>
      </c>
      <c r="C33" s="14" t="s">
        <v>18</v>
      </c>
      <c r="D33" s="15" t="s">
        <v>189</v>
      </c>
      <c r="E33" s="16" t="s">
        <v>152</v>
      </c>
      <c r="F33" s="12" t="s">
        <v>197</v>
      </c>
      <c r="G33" s="12" t="s">
        <v>192</v>
      </c>
      <c r="H33" s="13" t="s">
        <v>19</v>
      </c>
      <c r="I33" s="6" t="s">
        <v>64</v>
      </c>
    </row>
    <row r="34" spans="1:9" ht="47.4" thickBot="1" x14ac:dyDescent="0.35">
      <c r="A34" s="6" t="s">
        <v>145</v>
      </c>
      <c r="B34" s="7" t="s">
        <v>162</v>
      </c>
      <c r="C34" s="14" t="s">
        <v>18</v>
      </c>
      <c r="D34" s="15" t="s">
        <v>189</v>
      </c>
      <c r="E34" s="16" t="s">
        <v>174</v>
      </c>
      <c r="F34" s="12" t="s">
        <v>196</v>
      </c>
      <c r="G34" s="12" t="s">
        <v>191</v>
      </c>
      <c r="H34" s="13" t="s">
        <v>19</v>
      </c>
      <c r="I34" s="6" t="s">
        <v>64</v>
      </c>
    </row>
    <row r="35" spans="1:9" ht="66" customHeight="1" thickBot="1" x14ac:dyDescent="0.35">
      <c r="A35" s="6" t="s">
        <v>146</v>
      </c>
      <c r="B35" s="7" t="s">
        <v>147</v>
      </c>
      <c r="C35" s="14" t="s">
        <v>18</v>
      </c>
      <c r="D35" s="15" t="s">
        <v>189</v>
      </c>
      <c r="E35" s="16" t="s">
        <v>148</v>
      </c>
      <c r="F35" s="12" t="s">
        <v>182</v>
      </c>
      <c r="G35" s="12" t="s">
        <v>192</v>
      </c>
      <c r="H35" s="13" t="s">
        <v>20</v>
      </c>
      <c r="I35" s="6" t="s">
        <v>64</v>
      </c>
    </row>
    <row r="36" spans="1:9" ht="62.25" customHeight="1" thickBot="1" x14ac:dyDescent="0.35">
      <c r="A36" s="6" t="s">
        <v>149</v>
      </c>
      <c r="B36" s="7" t="s">
        <v>163</v>
      </c>
      <c r="C36" s="14" t="s">
        <v>18</v>
      </c>
      <c r="D36" s="15" t="s">
        <v>189</v>
      </c>
      <c r="E36" s="16" t="s">
        <v>148</v>
      </c>
      <c r="F36" s="12" t="s">
        <v>183</v>
      </c>
      <c r="G36" s="12" t="s">
        <v>191</v>
      </c>
      <c r="H36" s="13" t="s">
        <v>19</v>
      </c>
      <c r="I36" s="6" t="s">
        <v>64</v>
      </c>
    </row>
    <row r="37" spans="1:9" ht="60" customHeight="1" thickBot="1" x14ac:dyDescent="0.35">
      <c r="A37" s="6" t="s">
        <v>150</v>
      </c>
      <c r="B37" s="7" t="s">
        <v>164</v>
      </c>
      <c r="C37" s="14" t="s">
        <v>18</v>
      </c>
      <c r="D37" s="15" t="s">
        <v>189</v>
      </c>
      <c r="E37" s="16" t="s">
        <v>175</v>
      </c>
      <c r="F37" s="12" t="s">
        <v>184</v>
      </c>
      <c r="G37" s="12" t="s">
        <v>192</v>
      </c>
      <c r="H37" s="13" t="s">
        <v>19</v>
      </c>
      <c r="I37" s="6" t="s">
        <v>64</v>
      </c>
    </row>
    <row r="38" spans="1:9" ht="61.5" customHeight="1" thickBot="1" x14ac:dyDescent="0.35">
      <c r="A38" s="6" t="s">
        <v>151</v>
      </c>
      <c r="B38" s="7" t="s">
        <v>165</v>
      </c>
      <c r="C38" s="14" t="s">
        <v>18</v>
      </c>
      <c r="D38" s="15" t="s">
        <v>189</v>
      </c>
      <c r="E38" s="16" t="s">
        <v>148</v>
      </c>
      <c r="F38" s="12" t="s">
        <v>185</v>
      </c>
      <c r="G38" s="12" t="s">
        <v>193</v>
      </c>
      <c r="H38" s="13" t="s">
        <v>19</v>
      </c>
      <c r="I38" s="6" t="s">
        <v>64</v>
      </c>
    </row>
    <row r="41" spans="1:9" ht="15.6" x14ac:dyDescent="0.3">
      <c r="E41" s="32" t="s">
        <v>221</v>
      </c>
      <c r="F41" s="33">
        <v>23</v>
      </c>
    </row>
    <row r="42" spans="1:9" x14ac:dyDescent="0.3">
      <c r="E42" s="34" t="s">
        <v>222</v>
      </c>
      <c r="F42" s="33">
        <v>7</v>
      </c>
    </row>
    <row r="43" spans="1:9" x14ac:dyDescent="0.3">
      <c r="E43" s="34" t="s">
        <v>223</v>
      </c>
      <c r="F43" s="33">
        <v>0</v>
      </c>
    </row>
    <row r="44" spans="1:9" x14ac:dyDescent="0.3">
      <c r="E44" s="33" t="s">
        <v>224</v>
      </c>
      <c r="F44" s="33">
        <v>30</v>
      </c>
    </row>
  </sheetData>
  <mergeCells count="10">
    <mergeCell ref="L14:L16"/>
    <mergeCell ref="M14:M16"/>
    <mergeCell ref="N14:N16"/>
    <mergeCell ref="O14:O16"/>
    <mergeCell ref="P14:P16"/>
    <mergeCell ref="L9:L11"/>
    <mergeCell ref="M9:M11"/>
    <mergeCell ref="N9:N11"/>
    <mergeCell ref="O9:O11"/>
    <mergeCell ref="P9:P11"/>
  </mergeCells>
  <conditionalFormatting sqref="H9:H38">
    <cfRule type="cellIs" dxfId="5" priority="1" operator="equal">
      <formula>"Fail"</formula>
    </cfRule>
  </conditionalFormatting>
  <hyperlinks>
    <hyperlink ref="E17" r:id="rId1" xr:uid="{4221FC17-6FC5-4C96-8087-13E241719BE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C733F-4A1C-4A06-9B41-EADEA2AE9CA5}">
  <dimension ref="A1:I14"/>
  <sheetViews>
    <sheetView topLeftCell="A9" zoomScaleNormal="100" workbookViewId="0">
      <selection sqref="A1:E12"/>
    </sheetView>
  </sheetViews>
  <sheetFormatPr defaultRowHeight="14.4" x14ac:dyDescent="0.3"/>
  <cols>
    <col min="1" max="1" width="13.5546875" customWidth="1"/>
    <col min="2" max="2" width="14.6640625" customWidth="1"/>
    <col min="3" max="3" width="14" customWidth="1"/>
    <col min="4" max="4" width="18.6640625" customWidth="1"/>
    <col min="5" max="5" width="28.5546875" customWidth="1"/>
    <col min="6" max="6" width="13.6640625" customWidth="1"/>
  </cols>
  <sheetData>
    <row r="1" spans="1:9" ht="31.8" thickBot="1" x14ac:dyDescent="0.35">
      <c r="A1" s="1" t="s">
        <v>0</v>
      </c>
      <c r="B1" s="2" t="s">
        <v>1</v>
      </c>
    </row>
    <row r="2" spans="1:9" ht="31.8" thickBot="1" x14ac:dyDescent="0.35">
      <c r="A2" s="1" t="s">
        <v>2</v>
      </c>
      <c r="B2" s="2" t="s">
        <v>198</v>
      </c>
    </row>
    <row r="3" spans="1:9" ht="16.2" thickBot="1" x14ac:dyDescent="0.35">
      <c r="A3" s="1" t="s">
        <v>3</v>
      </c>
      <c r="B3" s="2" t="s">
        <v>8</v>
      </c>
    </row>
    <row r="4" spans="1:9" ht="31.8" thickBot="1" x14ac:dyDescent="0.35">
      <c r="A4" s="1" t="s">
        <v>4</v>
      </c>
      <c r="B4" s="3">
        <v>45976</v>
      </c>
    </row>
    <row r="5" spans="1:9" ht="16.2" thickBot="1" x14ac:dyDescent="0.35">
      <c r="A5" s="1" t="s">
        <v>5</v>
      </c>
      <c r="B5" s="2" t="s">
        <v>74</v>
      </c>
    </row>
    <row r="6" spans="1:9" ht="31.8" thickBot="1" x14ac:dyDescent="0.35">
      <c r="A6" s="1" t="s">
        <v>6</v>
      </c>
      <c r="B6" s="3">
        <v>45981</v>
      </c>
    </row>
    <row r="7" spans="1:9" ht="15" thickBot="1" x14ac:dyDescent="0.35"/>
    <row r="8" spans="1:9" ht="47.4" thickBot="1" x14ac:dyDescent="0.35">
      <c r="A8" s="4" t="s">
        <v>9</v>
      </c>
      <c r="B8" s="4" t="s">
        <v>10</v>
      </c>
      <c r="C8" s="5" t="s">
        <v>11</v>
      </c>
      <c r="D8" s="5" t="s">
        <v>12</v>
      </c>
      <c r="E8" s="4" t="s">
        <v>13</v>
      </c>
      <c r="F8" s="4" t="s">
        <v>14</v>
      </c>
      <c r="G8" s="4" t="s">
        <v>15</v>
      </c>
      <c r="H8" s="4" t="s">
        <v>16</v>
      </c>
      <c r="I8" s="4" t="s">
        <v>17</v>
      </c>
    </row>
    <row r="9" spans="1:9" ht="281.39999999999998" thickBot="1" x14ac:dyDescent="0.35">
      <c r="A9" s="6" t="s">
        <v>21</v>
      </c>
      <c r="B9" s="7" t="s">
        <v>199</v>
      </c>
      <c r="C9" s="8" t="s">
        <v>200</v>
      </c>
      <c r="D9" s="15" t="s">
        <v>201</v>
      </c>
      <c r="E9" s="28" t="s">
        <v>202</v>
      </c>
      <c r="F9" s="11" t="s">
        <v>203</v>
      </c>
      <c r="G9" s="12" t="s">
        <v>204</v>
      </c>
      <c r="H9" s="13" t="s">
        <v>19</v>
      </c>
      <c r="I9" s="6" t="s">
        <v>205</v>
      </c>
    </row>
    <row r="11" spans="1:9" ht="15.6" x14ac:dyDescent="0.3">
      <c r="E11" s="32" t="s">
        <v>221</v>
      </c>
      <c r="F11" s="33">
        <v>1</v>
      </c>
    </row>
    <row r="12" spans="1:9" x14ac:dyDescent="0.3">
      <c r="E12" s="34" t="s">
        <v>222</v>
      </c>
      <c r="F12" s="33">
        <v>0</v>
      </c>
    </row>
    <row r="13" spans="1:9" x14ac:dyDescent="0.3">
      <c r="E13" s="34" t="s">
        <v>223</v>
      </c>
      <c r="F13" s="33">
        <v>0</v>
      </c>
    </row>
    <row r="14" spans="1:9" x14ac:dyDescent="0.3">
      <c r="E14" s="33" t="s">
        <v>224</v>
      </c>
      <c r="F14" s="33">
        <v>1</v>
      </c>
    </row>
  </sheetData>
  <conditionalFormatting sqref="H9">
    <cfRule type="cellIs" dxfId="4" priority="1" operator="equal">
      <formula>"Fail"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028E2-1A0C-45A9-84DC-78D2B7A7FA6A}">
  <dimension ref="A1:I17"/>
  <sheetViews>
    <sheetView zoomScale="50" zoomScaleNormal="50" workbookViewId="0">
      <selection activeCell="E15" sqref="E15"/>
    </sheetView>
  </sheetViews>
  <sheetFormatPr defaultRowHeight="14.4" x14ac:dyDescent="0.3"/>
  <cols>
    <col min="2" max="2" width="19.88671875" customWidth="1"/>
    <col min="3" max="3" width="15.5546875" customWidth="1"/>
    <col min="4" max="4" width="40.109375" customWidth="1"/>
    <col min="5" max="5" width="18" customWidth="1"/>
    <col min="6" max="6" width="44.88671875" customWidth="1"/>
  </cols>
  <sheetData>
    <row r="1" spans="1:9" ht="31.2" x14ac:dyDescent="0.3">
      <c r="A1" s="29" t="s">
        <v>0</v>
      </c>
      <c r="B1" s="30" t="s">
        <v>1</v>
      </c>
    </row>
    <row r="2" spans="1:9" ht="31.2" x14ac:dyDescent="0.3">
      <c r="A2" s="29" t="s">
        <v>2</v>
      </c>
      <c r="B2" s="30" t="s">
        <v>206</v>
      </c>
    </row>
    <row r="3" spans="1:9" ht="31.2" x14ac:dyDescent="0.3">
      <c r="A3" s="29" t="s">
        <v>3</v>
      </c>
      <c r="B3" s="30" t="s">
        <v>8</v>
      </c>
    </row>
    <row r="4" spans="1:9" ht="31.2" x14ac:dyDescent="0.3">
      <c r="A4" s="29" t="s">
        <v>4</v>
      </c>
      <c r="B4" s="31">
        <v>45976</v>
      </c>
    </row>
    <row r="5" spans="1:9" ht="31.2" x14ac:dyDescent="0.3">
      <c r="A5" s="29" t="s">
        <v>5</v>
      </c>
      <c r="B5" s="30" t="s">
        <v>74</v>
      </c>
    </row>
    <row r="6" spans="1:9" ht="31.2" x14ac:dyDescent="0.3">
      <c r="A6" s="29" t="s">
        <v>6</v>
      </c>
      <c r="B6" s="31">
        <v>45981</v>
      </c>
    </row>
    <row r="7" spans="1:9" ht="15" thickBot="1" x14ac:dyDescent="0.35"/>
    <row r="8" spans="1:9" ht="47.4" thickBot="1" x14ac:dyDescent="0.35">
      <c r="A8" s="4" t="s">
        <v>9</v>
      </c>
      <c r="B8" s="4" t="s">
        <v>10</v>
      </c>
      <c r="C8" s="5" t="s">
        <v>11</v>
      </c>
      <c r="D8" s="4" t="s">
        <v>12</v>
      </c>
      <c r="E8" s="4" t="s">
        <v>13</v>
      </c>
      <c r="F8" s="4" t="s">
        <v>14</v>
      </c>
      <c r="G8" s="4" t="s">
        <v>15</v>
      </c>
      <c r="H8" s="4" t="s">
        <v>16</v>
      </c>
      <c r="I8" s="4" t="s">
        <v>17</v>
      </c>
    </row>
    <row r="9" spans="1:9" ht="121.5" customHeight="1" thickBot="1" x14ac:dyDescent="0.35">
      <c r="A9" s="6" t="s">
        <v>21</v>
      </c>
      <c r="B9" s="7" t="s">
        <v>207</v>
      </c>
      <c r="C9" s="8" t="s">
        <v>18</v>
      </c>
      <c r="D9" s="9" t="s">
        <v>211</v>
      </c>
      <c r="E9" s="10" t="s">
        <v>215</v>
      </c>
      <c r="F9" s="11" t="s">
        <v>219</v>
      </c>
      <c r="G9" s="12" t="s">
        <v>220</v>
      </c>
      <c r="H9" s="13" t="s">
        <v>19</v>
      </c>
      <c r="I9" s="6" t="s">
        <v>205</v>
      </c>
    </row>
    <row r="10" spans="1:9" ht="102" customHeight="1" thickBot="1" x14ac:dyDescent="0.35">
      <c r="A10" s="6" t="s">
        <v>22</v>
      </c>
      <c r="B10" s="7" t="s">
        <v>208</v>
      </c>
      <c r="C10" s="14" t="s">
        <v>18</v>
      </c>
      <c r="D10" s="15" t="s">
        <v>212</v>
      </c>
      <c r="E10" s="16" t="s">
        <v>216</v>
      </c>
      <c r="F10" s="11" t="s">
        <v>219</v>
      </c>
      <c r="G10" s="12" t="s">
        <v>220</v>
      </c>
      <c r="H10" s="13" t="s">
        <v>19</v>
      </c>
      <c r="I10" s="6" t="s">
        <v>205</v>
      </c>
    </row>
    <row r="11" spans="1:9" ht="124.5" customHeight="1" thickBot="1" x14ac:dyDescent="0.35">
      <c r="A11" s="6" t="s">
        <v>23</v>
      </c>
      <c r="B11" s="7" t="s">
        <v>209</v>
      </c>
      <c r="C11" s="14" t="s">
        <v>18</v>
      </c>
      <c r="D11" s="15" t="s">
        <v>213</v>
      </c>
      <c r="E11" s="16" t="s">
        <v>217</v>
      </c>
      <c r="F11" s="11" t="s">
        <v>219</v>
      </c>
      <c r="G11" s="12" t="s">
        <v>220</v>
      </c>
      <c r="H11" s="13" t="s">
        <v>19</v>
      </c>
      <c r="I11" s="6" t="s">
        <v>205</v>
      </c>
    </row>
    <row r="12" spans="1:9" ht="90" customHeight="1" thickBot="1" x14ac:dyDescent="0.35">
      <c r="A12" s="6" t="s">
        <v>24</v>
      </c>
      <c r="B12" s="7" t="s">
        <v>210</v>
      </c>
      <c r="C12" s="14" t="s">
        <v>18</v>
      </c>
      <c r="D12" s="15" t="s">
        <v>214</v>
      </c>
      <c r="E12" s="16" t="s">
        <v>218</v>
      </c>
      <c r="F12" s="11" t="s">
        <v>219</v>
      </c>
      <c r="G12" s="12" t="s">
        <v>220</v>
      </c>
      <c r="H12" s="13" t="s">
        <v>19</v>
      </c>
      <c r="I12" s="6" t="s">
        <v>205</v>
      </c>
    </row>
    <row r="14" spans="1:9" ht="15.6" x14ac:dyDescent="0.3">
      <c r="E14" s="32" t="s">
        <v>221</v>
      </c>
      <c r="F14" s="33">
        <v>4</v>
      </c>
    </row>
    <row r="15" spans="1:9" x14ac:dyDescent="0.3">
      <c r="E15" s="34" t="s">
        <v>222</v>
      </c>
      <c r="F15" s="33">
        <v>0</v>
      </c>
    </row>
    <row r="16" spans="1:9" x14ac:dyDescent="0.3">
      <c r="E16" s="34" t="s">
        <v>223</v>
      </c>
      <c r="F16" s="33">
        <v>0</v>
      </c>
    </row>
    <row r="17" spans="5:6" x14ac:dyDescent="0.3">
      <c r="E17" s="33" t="s">
        <v>224</v>
      </c>
      <c r="F17" s="33">
        <v>4</v>
      </c>
    </row>
  </sheetData>
  <conditionalFormatting sqref="H9:H12">
    <cfRule type="cellIs" dxfId="3" priority="1" operator="equal">
      <formula>"Fail"</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2460-DE80-4067-858D-E92B1E8D3257}">
  <dimension ref="A1:I27"/>
  <sheetViews>
    <sheetView topLeftCell="A5" zoomScaleNormal="100" workbookViewId="0">
      <selection activeCell="A9" sqref="A9"/>
    </sheetView>
  </sheetViews>
  <sheetFormatPr defaultRowHeight="14.4" x14ac:dyDescent="0.3"/>
  <cols>
    <col min="1" max="1" width="17.88671875" customWidth="1"/>
    <col min="2" max="2" width="33.44140625" customWidth="1"/>
    <col min="3" max="3" width="28.5546875" customWidth="1"/>
    <col min="4" max="4" width="31.88671875" customWidth="1"/>
    <col min="5" max="5" width="24.109375" customWidth="1"/>
    <col min="6" max="6" width="19" customWidth="1"/>
    <col min="7" max="7" width="23" customWidth="1"/>
    <col min="9" max="9" width="19.44140625" customWidth="1"/>
  </cols>
  <sheetData>
    <row r="1" spans="1:9" ht="15.6" x14ac:dyDescent="0.3">
      <c r="A1" s="29" t="s">
        <v>0</v>
      </c>
      <c r="B1" s="30" t="s">
        <v>1</v>
      </c>
    </row>
    <row r="2" spans="1:9" ht="15.6" x14ac:dyDescent="0.3">
      <c r="A2" s="29" t="s">
        <v>2</v>
      </c>
      <c r="B2" s="30" t="s">
        <v>242</v>
      </c>
    </row>
    <row r="3" spans="1:9" ht="15.6" x14ac:dyDescent="0.3">
      <c r="A3" s="29" t="s">
        <v>3</v>
      </c>
      <c r="B3" s="30" t="s">
        <v>8</v>
      </c>
    </row>
    <row r="4" spans="1:9" ht="15.6" x14ac:dyDescent="0.3">
      <c r="A4" s="29" t="s">
        <v>4</v>
      </c>
      <c r="B4" s="31">
        <v>45976</v>
      </c>
    </row>
    <row r="5" spans="1:9" ht="15.6" x14ac:dyDescent="0.3">
      <c r="A5" s="29" t="s">
        <v>5</v>
      </c>
      <c r="B5" s="30" t="s">
        <v>74</v>
      </c>
    </row>
    <row r="6" spans="1:9" ht="15.6" x14ac:dyDescent="0.3">
      <c r="A6" s="29" t="s">
        <v>6</v>
      </c>
      <c r="B6" s="31">
        <v>45981</v>
      </c>
    </row>
    <row r="7" spans="1:9" ht="15" thickBot="1" x14ac:dyDescent="0.35"/>
    <row r="8" spans="1:9" ht="16.2" thickBot="1" x14ac:dyDescent="0.35">
      <c r="A8" s="4" t="s">
        <v>9</v>
      </c>
      <c r="B8" s="4" t="s">
        <v>10</v>
      </c>
      <c r="C8" s="5" t="s">
        <v>11</v>
      </c>
      <c r="D8" s="4" t="s">
        <v>12</v>
      </c>
      <c r="E8" s="4" t="s">
        <v>13</v>
      </c>
      <c r="F8" s="4" t="s">
        <v>14</v>
      </c>
      <c r="G8" s="4" t="s">
        <v>15</v>
      </c>
      <c r="H8" s="4" t="s">
        <v>16</v>
      </c>
      <c r="I8" s="4" t="s">
        <v>17</v>
      </c>
    </row>
    <row r="9" spans="1:9" ht="72.75" customHeight="1" thickBot="1" x14ac:dyDescent="0.35">
      <c r="A9" s="6" t="s">
        <v>21</v>
      </c>
      <c r="B9" s="7" t="s">
        <v>225</v>
      </c>
      <c r="C9" s="8" t="s">
        <v>18</v>
      </c>
      <c r="D9" s="8" t="s">
        <v>226</v>
      </c>
      <c r="E9" s="10" t="s">
        <v>228</v>
      </c>
      <c r="F9" s="11" t="s">
        <v>227</v>
      </c>
      <c r="G9" s="12" t="s">
        <v>243</v>
      </c>
      <c r="H9" s="6" t="s">
        <v>20</v>
      </c>
      <c r="I9" s="6" t="s">
        <v>64</v>
      </c>
    </row>
    <row r="10" spans="1:9" ht="64.5" customHeight="1" thickBot="1" x14ac:dyDescent="0.35">
      <c r="A10" s="6" t="s">
        <v>22</v>
      </c>
      <c r="B10" s="7" t="s">
        <v>225</v>
      </c>
      <c r="C10" s="8" t="s">
        <v>18</v>
      </c>
      <c r="D10" s="8" t="s">
        <v>226</v>
      </c>
      <c r="E10" s="16" t="s">
        <v>229</v>
      </c>
      <c r="F10" s="11" t="s">
        <v>227</v>
      </c>
      <c r="G10" s="12" t="s">
        <v>243</v>
      </c>
      <c r="H10" s="6" t="s">
        <v>20</v>
      </c>
      <c r="I10" s="6" t="s">
        <v>64</v>
      </c>
    </row>
    <row r="11" spans="1:9" ht="47.4" thickBot="1" x14ac:dyDescent="0.35">
      <c r="A11" s="6" t="s">
        <v>23</v>
      </c>
      <c r="B11" s="7" t="s">
        <v>225</v>
      </c>
      <c r="C11" s="8" t="s">
        <v>18</v>
      </c>
      <c r="D11" s="8" t="s">
        <v>226</v>
      </c>
      <c r="E11" s="16" t="s">
        <v>230</v>
      </c>
      <c r="F11" s="18" t="s">
        <v>227</v>
      </c>
      <c r="G11" s="12" t="s">
        <v>243</v>
      </c>
      <c r="H11" s="6" t="s">
        <v>20</v>
      </c>
      <c r="I11" s="6" t="s">
        <v>64</v>
      </c>
    </row>
    <row r="12" spans="1:9" ht="47.4" thickBot="1" x14ac:dyDescent="0.35">
      <c r="A12" s="6" t="s">
        <v>24</v>
      </c>
      <c r="B12" s="7" t="s">
        <v>225</v>
      </c>
      <c r="C12" s="8" t="s">
        <v>18</v>
      </c>
      <c r="D12" s="8" t="s">
        <v>226</v>
      </c>
      <c r="E12" s="16" t="s">
        <v>237</v>
      </c>
      <c r="F12" s="17" t="s">
        <v>227</v>
      </c>
      <c r="G12" s="12" t="s">
        <v>243</v>
      </c>
      <c r="H12" s="6" t="s">
        <v>20</v>
      </c>
      <c r="I12" s="6" t="s">
        <v>64</v>
      </c>
    </row>
    <row r="13" spans="1:9" ht="47.4" thickBot="1" x14ac:dyDescent="0.35">
      <c r="A13" s="6" t="s">
        <v>25</v>
      </c>
      <c r="B13" s="7" t="s">
        <v>225</v>
      </c>
      <c r="C13" s="8" t="s">
        <v>18</v>
      </c>
      <c r="D13" s="8" t="s">
        <v>226</v>
      </c>
      <c r="E13" s="16" t="s">
        <v>232</v>
      </c>
      <c r="F13" s="17" t="s">
        <v>227</v>
      </c>
      <c r="G13" s="12" t="s">
        <v>243</v>
      </c>
      <c r="H13" s="6" t="s">
        <v>20</v>
      </c>
      <c r="I13" s="6" t="s">
        <v>64</v>
      </c>
    </row>
    <row r="14" spans="1:9" ht="47.4" thickBot="1" x14ac:dyDescent="0.35">
      <c r="A14" s="6" t="s">
        <v>26</v>
      </c>
      <c r="B14" s="7" t="s">
        <v>225</v>
      </c>
      <c r="C14" s="8" t="s">
        <v>18</v>
      </c>
      <c r="D14" s="8" t="s">
        <v>226</v>
      </c>
      <c r="E14" s="16" t="s">
        <v>235</v>
      </c>
      <c r="F14" s="17" t="s">
        <v>227</v>
      </c>
      <c r="G14" s="12" t="s">
        <v>243</v>
      </c>
      <c r="H14" s="6" t="s">
        <v>20</v>
      </c>
      <c r="I14" s="6" t="s">
        <v>64</v>
      </c>
    </row>
    <row r="15" spans="1:9" ht="47.4" thickBot="1" x14ac:dyDescent="0.35">
      <c r="A15" s="6" t="s">
        <v>27</v>
      </c>
      <c r="B15" s="7" t="s">
        <v>225</v>
      </c>
      <c r="C15" s="8" t="s">
        <v>18</v>
      </c>
      <c r="D15" s="8" t="s">
        <v>226</v>
      </c>
      <c r="E15" s="16" t="s">
        <v>238</v>
      </c>
      <c r="F15" s="17" t="s">
        <v>227</v>
      </c>
      <c r="G15" s="12" t="s">
        <v>243</v>
      </c>
      <c r="H15" s="6" t="s">
        <v>20</v>
      </c>
      <c r="I15" s="6" t="s">
        <v>64</v>
      </c>
    </row>
    <row r="16" spans="1:9" ht="47.4" thickBot="1" x14ac:dyDescent="0.35">
      <c r="A16" s="6" t="s">
        <v>28</v>
      </c>
      <c r="B16" s="7" t="s">
        <v>225</v>
      </c>
      <c r="C16" s="8" t="s">
        <v>18</v>
      </c>
      <c r="D16" s="8" t="s">
        <v>226</v>
      </c>
      <c r="E16" s="16" t="s">
        <v>239</v>
      </c>
      <c r="F16" s="17" t="s">
        <v>227</v>
      </c>
      <c r="G16" s="12" t="s">
        <v>243</v>
      </c>
      <c r="H16" s="6" t="s">
        <v>20</v>
      </c>
      <c r="I16" s="6" t="s">
        <v>64</v>
      </c>
    </row>
    <row r="17" spans="1:9" ht="47.4" thickBot="1" x14ac:dyDescent="0.35">
      <c r="A17" s="6" t="s">
        <v>29</v>
      </c>
      <c r="B17" s="7" t="s">
        <v>225</v>
      </c>
      <c r="C17" s="8" t="s">
        <v>18</v>
      </c>
      <c r="D17" s="8" t="s">
        <v>226</v>
      </c>
      <c r="E17" s="16" t="s">
        <v>240</v>
      </c>
      <c r="F17" s="12" t="s">
        <v>227</v>
      </c>
      <c r="G17" s="12" t="s">
        <v>243</v>
      </c>
      <c r="H17" s="6" t="s">
        <v>20</v>
      </c>
      <c r="I17" s="6" t="s">
        <v>64</v>
      </c>
    </row>
    <row r="18" spans="1:9" ht="47.4" thickBot="1" x14ac:dyDescent="0.35">
      <c r="A18" s="6" t="s">
        <v>30</v>
      </c>
      <c r="B18" s="7" t="s">
        <v>225</v>
      </c>
      <c r="C18" s="8" t="s">
        <v>18</v>
      </c>
      <c r="D18" s="8" t="s">
        <v>226</v>
      </c>
      <c r="E18" s="16" t="s">
        <v>241</v>
      </c>
      <c r="F18" s="12" t="s">
        <v>227</v>
      </c>
      <c r="G18" s="12" t="s">
        <v>243</v>
      </c>
      <c r="H18" s="6" t="s">
        <v>20</v>
      </c>
      <c r="I18" s="6" t="s">
        <v>64</v>
      </c>
    </row>
    <row r="19" spans="1:9" ht="47.4" thickBot="1" x14ac:dyDescent="0.35">
      <c r="A19" s="6" t="s">
        <v>31</v>
      </c>
      <c r="B19" s="7" t="s">
        <v>225</v>
      </c>
      <c r="C19" s="8" t="s">
        <v>18</v>
      </c>
      <c r="D19" s="8" t="s">
        <v>226</v>
      </c>
      <c r="E19" s="16" t="s">
        <v>231</v>
      </c>
      <c r="F19" s="12" t="s">
        <v>227</v>
      </c>
      <c r="G19" s="12" t="s">
        <v>243</v>
      </c>
      <c r="H19" s="6" t="s">
        <v>20</v>
      </c>
      <c r="I19" s="6" t="s">
        <v>64</v>
      </c>
    </row>
    <row r="20" spans="1:9" ht="47.4" thickBot="1" x14ac:dyDescent="0.35">
      <c r="A20" s="6" t="s">
        <v>32</v>
      </c>
      <c r="B20" s="7" t="s">
        <v>225</v>
      </c>
      <c r="C20" s="8" t="s">
        <v>18</v>
      </c>
      <c r="D20" s="8" t="s">
        <v>226</v>
      </c>
      <c r="E20" s="16" t="s">
        <v>233</v>
      </c>
      <c r="F20" s="12" t="s">
        <v>227</v>
      </c>
      <c r="G20" s="12" t="s">
        <v>243</v>
      </c>
      <c r="H20" s="6" t="s">
        <v>20</v>
      </c>
      <c r="I20" s="6" t="s">
        <v>64</v>
      </c>
    </row>
    <row r="21" spans="1:9" ht="47.4" thickBot="1" x14ac:dyDescent="0.35">
      <c r="A21" s="6" t="s">
        <v>33</v>
      </c>
      <c r="B21" s="7" t="s">
        <v>225</v>
      </c>
      <c r="C21" s="8" t="s">
        <v>18</v>
      </c>
      <c r="D21" s="8" t="s">
        <v>226</v>
      </c>
      <c r="E21" s="16" t="s">
        <v>234</v>
      </c>
      <c r="F21" s="12" t="s">
        <v>227</v>
      </c>
      <c r="G21" s="12" t="s">
        <v>243</v>
      </c>
      <c r="H21" s="6" t="s">
        <v>20</v>
      </c>
      <c r="I21" s="6" t="s">
        <v>64</v>
      </c>
    </row>
    <row r="22" spans="1:9" ht="47.4" thickBot="1" x14ac:dyDescent="0.35">
      <c r="A22" s="6" t="s">
        <v>34</v>
      </c>
      <c r="B22" s="7" t="s">
        <v>225</v>
      </c>
      <c r="C22" s="8" t="s">
        <v>18</v>
      </c>
      <c r="D22" s="8" t="s">
        <v>226</v>
      </c>
      <c r="E22" s="16" t="s">
        <v>236</v>
      </c>
      <c r="F22" s="12" t="s">
        <v>227</v>
      </c>
      <c r="G22" s="12" t="s">
        <v>243</v>
      </c>
      <c r="H22" s="6" t="s">
        <v>20</v>
      </c>
      <c r="I22" s="6" t="s">
        <v>64</v>
      </c>
    </row>
    <row r="24" spans="1:9" ht="15.6" x14ac:dyDescent="0.3">
      <c r="E24" s="32" t="s">
        <v>221</v>
      </c>
      <c r="F24" s="33">
        <v>0</v>
      </c>
    </row>
    <row r="25" spans="1:9" x14ac:dyDescent="0.3">
      <c r="E25" s="34" t="s">
        <v>222</v>
      </c>
      <c r="F25" s="33">
        <v>14</v>
      </c>
    </row>
    <row r="26" spans="1:9" x14ac:dyDescent="0.3">
      <c r="E26" s="34" t="s">
        <v>223</v>
      </c>
      <c r="F26" s="33">
        <v>0</v>
      </c>
    </row>
    <row r="27" spans="1:9" x14ac:dyDescent="0.3">
      <c r="E27" s="33" t="s">
        <v>224</v>
      </c>
      <c r="F27" s="33">
        <v>14</v>
      </c>
    </row>
  </sheetData>
  <phoneticPr fontId="11" type="noConversion"/>
  <conditionalFormatting sqref="H9:H22">
    <cfRule type="cellIs" dxfId="2" priority="1" operator="equal">
      <formula>"Fail"</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05419-BBDC-414E-B14F-5D66450E1CFF}">
  <dimension ref="A1:I27"/>
  <sheetViews>
    <sheetView zoomScale="78" zoomScaleNormal="78" workbookViewId="0">
      <selection activeCell="B2" sqref="B2"/>
    </sheetView>
  </sheetViews>
  <sheetFormatPr defaultRowHeight="14.4" x14ac:dyDescent="0.3"/>
  <cols>
    <col min="2" max="2" width="19" customWidth="1"/>
    <col min="3" max="3" width="25" customWidth="1"/>
    <col min="4" max="4" width="32.88671875" customWidth="1"/>
    <col min="5" max="5" width="25.5546875" customWidth="1"/>
    <col min="6" max="6" width="22.5546875" customWidth="1"/>
    <col min="7" max="7" width="15.109375" customWidth="1"/>
    <col min="8" max="8" width="10.88671875" customWidth="1"/>
    <col min="9" max="9" width="14.109375" customWidth="1"/>
  </cols>
  <sheetData>
    <row r="1" spans="1:9" ht="31.8" thickBot="1" x14ac:dyDescent="0.35">
      <c r="A1" s="1" t="s">
        <v>0</v>
      </c>
      <c r="B1" s="2" t="s">
        <v>1</v>
      </c>
    </row>
    <row r="2" spans="1:9" ht="31.8" thickBot="1" x14ac:dyDescent="0.35">
      <c r="A2" s="1" t="s">
        <v>2</v>
      </c>
      <c r="B2" s="2" t="s">
        <v>363</v>
      </c>
    </row>
    <row r="3" spans="1:9" ht="31.8" thickBot="1" x14ac:dyDescent="0.35">
      <c r="A3" s="1" t="s">
        <v>3</v>
      </c>
      <c r="B3" s="2" t="s">
        <v>8</v>
      </c>
    </row>
    <row r="4" spans="1:9" ht="31.8" thickBot="1" x14ac:dyDescent="0.35">
      <c r="A4" s="1" t="s">
        <v>4</v>
      </c>
      <c r="B4" s="3">
        <v>45976</v>
      </c>
    </row>
    <row r="5" spans="1:9" ht="31.8" thickBot="1" x14ac:dyDescent="0.35">
      <c r="A5" s="1" t="s">
        <v>5</v>
      </c>
      <c r="B5" s="2" t="s">
        <v>74</v>
      </c>
    </row>
    <row r="6" spans="1:9" ht="31.8" thickBot="1" x14ac:dyDescent="0.35">
      <c r="A6" s="1" t="s">
        <v>6</v>
      </c>
      <c r="B6" s="3">
        <v>45981</v>
      </c>
    </row>
    <row r="7" spans="1:9" ht="15" thickBot="1" x14ac:dyDescent="0.35"/>
    <row r="8" spans="1:9" ht="31.8" thickBot="1" x14ac:dyDescent="0.35">
      <c r="A8" s="4" t="s">
        <v>9</v>
      </c>
      <c r="B8" s="4" t="s">
        <v>10</v>
      </c>
      <c r="C8" s="5" t="s">
        <v>11</v>
      </c>
      <c r="D8" s="5" t="s">
        <v>12</v>
      </c>
      <c r="E8" s="4" t="s">
        <v>13</v>
      </c>
      <c r="F8" s="4" t="s">
        <v>14</v>
      </c>
      <c r="G8" s="4" t="s">
        <v>15</v>
      </c>
      <c r="H8" s="4" t="s">
        <v>16</v>
      </c>
      <c r="I8" s="4" t="s">
        <v>17</v>
      </c>
    </row>
    <row r="9" spans="1:9" ht="72.75" customHeight="1" thickBot="1" x14ac:dyDescent="0.35">
      <c r="A9" s="6" t="s">
        <v>21</v>
      </c>
      <c r="B9" s="7" t="s">
        <v>244</v>
      </c>
      <c r="C9" s="8" t="s">
        <v>18</v>
      </c>
      <c r="D9" s="15" t="s">
        <v>276</v>
      </c>
      <c r="E9" s="28" t="s">
        <v>245</v>
      </c>
      <c r="F9" s="11" t="s">
        <v>246</v>
      </c>
      <c r="G9" s="12" t="s">
        <v>275</v>
      </c>
      <c r="H9" s="13" t="s">
        <v>19</v>
      </c>
      <c r="I9" s="6" t="s">
        <v>62</v>
      </c>
    </row>
    <row r="10" spans="1:9" ht="78.75" customHeight="1" thickBot="1" x14ac:dyDescent="0.35">
      <c r="A10" s="6" t="s">
        <v>22</v>
      </c>
      <c r="B10" s="7" t="s">
        <v>286</v>
      </c>
      <c r="C10" s="14" t="s">
        <v>18</v>
      </c>
      <c r="D10" s="15" t="s">
        <v>287</v>
      </c>
      <c r="E10" s="16" t="s">
        <v>247</v>
      </c>
      <c r="F10" s="11" t="s">
        <v>288</v>
      </c>
      <c r="G10" s="12" t="s">
        <v>289</v>
      </c>
      <c r="H10" s="13" t="s">
        <v>20</v>
      </c>
      <c r="I10" s="6" t="s">
        <v>274</v>
      </c>
    </row>
    <row r="11" spans="1:9" ht="66.75" customHeight="1" thickBot="1" x14ac:dyDescent="0.35">
      <c r="A11" s="6" t="s">
        <v>23</v>
      </c>
      <c r="B11" s="7" t="s">
        <v>248</v>
      </c>
      <c r="C11" s="14" t="s">
        <v>18</v>
      </c>
      <c r="D11" s="15" t="s">
        <v>277</v>
      </c>
      <c r="E11" s="16" t="s">
        <v>148</v>
      </c>
      <c r="F11" s="18" t="s">
        <v>249</v>
      </c>
      <c r="G11" s="12" t="s">
        <v>275</v>
      </c>
      <c r="H11" s="13" t="s">
        <v>19</v>
      </c>
      <c r="I11" s="6" t="s">
        <v>274</v>
      </c>
    </row>
    <row r="12" spans="1:9" ht="47.4" thickBot="1" x14ac:dyDescent="0.35">
      <c r="A12" s="6" t="s">
        <v>24</v>
      </c>
      <c r="B12" s="7" t="s">
        <v>250</v>
      </c>
      <c r="C12" s="14" t="s">
        <v>18</v>
      </c>
      <c r="D12" s="15" t="s">
        <v>278</v>
      </c>
      <c r="E12" s="16" t="s">
        <v>148</v>
      </c>
      <c r="F12" s="17" t="s">
        <v>251</v>
      </c>
      <c r="G12" s="12" t="s">
        <v>275</v>
      </c>
      <c r="H12" s="13" t="s">
        <v>19</v>
      </c>
      <c r="I12" s="6" t="s">
        <v>274</v>
      </c>
    </row>
    <row r="13" spans="1:9" ht="78.599999999999994" thickBot="1" x14ac:dyDescent="0.35">
      <c r="A13" s="6" t="s">
        <v>25</v>
      </c>
      <c r="B13" s="7" t="s">
        <v>252</v>
      </c>
      <c r="C13" s="14" t="s">
        <v>18</v>
      </c>
      <c r="D13" s="15" t="s">
        <v>279</v>
      </c>
      <c r="E13" s="16" t="s">
        <v>253</v>
      </c>
      <c r="F13" s="17" t="s">
        <v>254</v>
      </c>
      <c r="G13" s="12" t="s">
        <v>275</v>
      </c>
      <c r="H13" s="13" t="s">
        <v>19</v>
      </c>
      <c r="I13" s="6" t="s">
        <v>274</v>
      </c>
    </row>
    <row r="14" spans="1:9" ht="47.4" thickBot="1" x14ac:dyDescent="0.35">
      <c r="A14" s="6" t="s">
        <v>26</v>
      </c>
      <c r="B14" s="7" t="s">
        <v>255</v>
      </c>
      <c r="C14" s="14" t="s">
        <v>18</v>
      </c>
      <c r="D14" s="15" t="s">
        <v>280</v>
      </c>
      <c r="E14" s="16" t="s">
        <v>256</v>
      </c>
      <c r="F14" s="17" t="s">
        <v>257</v>
      </c>
      <c r="G14" s="12" t="s">
        <v>275</v>
      </c>
      <c r="H14" s="13" t="s">
        <v>19</v>
      </c>
      <c r="I14" s="6" t="s">
        <v>274</v>
      </c>
    </row>
    <row r="15" spans="1:9" ht="47.4" thickBot="1" x14ac:dyDescent="0.35">
      <c r="A15" s="6" t="s">
        <v>27</v>
      </c>
      <c r="B15" s="7" t="s">
        <v>258</v>
      </c>
      <c r="C15" s="14" t="s">
        <v>18</v>
      </c>
      <c r="D15" s="15" t="s">
        <v>259</v>
      </c>
      <c r="E15" s="16" t="s">
        <v>148</v>
      </c>
      <c r="F15" s="17" t="s">
        <v>260</v>
      </c>
      <c r="G15" s="12" t="s">
        <v>275</v>
      </c>
      <c r="H15" s="13" t="s">
        <v>19</v>
      </c>
      <c r="I15" s="6" t="s">
        <v>274</v>
      </c>
    </row>
    <row r="16" spans="1:9" ht="53.25" customHeight="1" thickBot="1" x14ac:dyDescent="0.35">
      <c r="A16" s="6" t="s">
        <v>28</v>
      </c>
      <c r="B16" s="7" t="s">
        <v>261</v>
      </c>
      <c r="C16" s="14" t="s">
        <v>18</v>
      </c>
      <c r="D16" s="15" t="s">
        <v>281</v>
      </c>
      <c r="E16" s="35" t="s">
        <v>148</v>
      </c>
      <c r="F16" s="12" t="s">
        <v>262</v>
      </c>
      <c r="G16" s="12" t="s">
        <v>275</v>
      </c>
      <c r="H16" s="13" t="s">
        <v>19</v>
      </c>
      <c r="I16" s="6" t="s">
        <v>274</v>
      </c>
    </row>
    <row r="17" spans="1:9" ht="52.5" customHeight="1" thickBot="1" x14ac:dyDescent="0.35">
      <c r="A17" s="6" t="s">
        <v>29</v>
      </c>
      <c r="B17" s="7" t="s">
        <v>263</v>
      </c>
      <c r="C17" s="14" t="s">
        <v>18</v>
      </c>
      <c r="D17" s="15" t="s">
        <v>282</v>
      </c>
      <c r="E17" s="16" t="s">
        <v>264</v>
      </c>
      <c r="F17" s="12" t="s">
        <v>265</v>
      </c>
      <c r="G17" s="12" t="s">
        <v>275</v>
      </c>
      <c r="H17" s="13" t="s">
        <v>19</v>
      </c>
      <c r="I17" s="6" t="s">
        <v>274</v>
      </c>
    </row>
    <row r="18" spans="1:9" ht="47.4" thickBot="1" x14ac:dyDescent="0.35">
      <c r="A18" s="6" t="s">
        <v>30</v>
      </c>
      <c r="B18" s="7" t="s">
        <v>266</v>
      </c>
      <c r="C18" s="14" t="s">
        <v>18</v>
      </c>
      <c r="D18" s="15" t="s">
        <v>283</v>
      </c>
      <c r="E18" s="16" t="s">
        <v>148</v>
      </c>
      <c r="F18" s="12" t="s">
        <v>267</v>
      </c>
      <c r="G18" s="12" t="s">
        <v>275</v>
      </c>
      <c r="H18" s="13" t="s">
        <v>19</v>
      </c>
      <c r="I18" s="6" t="s">
        <v>274</v>
      </c>
    </row>
    <row r="19" spans="1:9" ht="63" thickBot="1" x14ac:dyDescent="0.35">
      <c r="A19" s="6" t="s">
        <v>31</v>
      </c>
      <c r="B19" s="7" t="s">
        <v>268</v>
      </c>
      <c r="C19" s="14" t="s">
        <v>18</v>
      </c>
      <c r="D19" s="15" t="s">
        <v>284</v>
      </c>
      <c r="E19" s="16" t="s">
        <v>269</v>
      </c>
      <c r="F19" s="12" t="s">
        <v>270</v>
      </c>
      <c r="G19" s="12" t="s">
        <v>275</v>
      </c>
      <c r="H19" s="13" t="s">
        <v>19</v>
      </c>
      <c r="I19" s="6" t="s">
        <v>274</v>
      </c>
    </row>
    <row r="20" spans="1:9" ht="47.4" thickBot="1" x14ac:dyDescent="0.35">
      <c r="A20" s="6" t="s">
        <v>32</v>
      </c>
      <c r="B20" s="7" t="s">
        <v>271</v>
      </c>
      <c r="C20" s="14" t="s">
        <v>18</v>
      </c>
      <c r="D20" s="15" t="s">
        <v>285</v>
      </c>
      <c r="E20" s="16" t="s">
        <v>272</v>
      </c>
      <c r="F20" s="12" t="s">
        <v>273</v>
      </c>
      <c r="G20" s="12" t="s">
        <v>275</v>
      </c>
      <c r="H20" s="13" t="s">
        <v>19</v>
      </c>
      <c r="I20" s="6" t="s">
        <v>299</v>
      </c>
    </row>
    <row r="21" spans="1:9" ht="78.599999999999994" thickBot="1" x14ac:dyDescent="0.35">
      <c r="A21" s="6" t="s">
        <v>33</v>
      </c>
      <c r="B21" s="7" t="s">
        <v>290</v>
      </c>
      <c r="C21" s="14" t="s">
        <v>18</v>
      </c>
      <c r="D21" s="15" t="s">
        <v>293</v>
      </c>
      <c r="E21" s="16" t="s">
        <v>291</v>
      </c>
      <c r="F21" s="12" t="s">
        <v>292</v>
      </c>
      <c r="G21" s="12" t="s">
        <v>275</v>
      </c>
      <c r="H21" s="13" t="s">
        <v>19</v>
      </c>
      <c r="I21" s="6" t="s">
        <v>298</v>
      </c>
    </row>
    <row r="22" spans="1:9" ht="63" thickBot="1" x14ac:dyDescent="0.35">
      <c r="A22" s="6" t="s">
        <v>34</v>
      </c>
      <c r="B22" s="7" t="s">
        <v>294</v>
      </c>
      <c r="C22" s="14" t="s">
        <v>18</v>
      </c>
      <c r="D22" s="15" t="s">
        <v>296</v>
      </c>
      <c r="E22" s="16" t="s">
        <v>148</v>
      </c>
      <c r="F22" s="12" t="s">
        <v>295</v>
      </c>
      <c r="G22" s="12" t="s">
        <v>275</v>
      </c>
      <c r="H22" s="13" t="s">
        <v>19</v>
      </c>
      <c r="I22" s="6" t="s">
        <v>297</v>
      </c>
    </row>
    <row r="24" spans="1:9" ht="15.6" x14ac:dyDescent="0.3">
      <c r="E24" s="32" t="s">
        <v>221</v>
      </c>
      <c r="F24" s="33">
        <v>13</v>
      </c>
    </row>
    <row r="25" spans="1:9" x14ac:dyDescent="0.3">
      <c r="E25" s="34" t="s">
        <v>222</v>
      </c>
      <c r="F25" s="33">
        <v>1</v>
      </c>
    </row>
    <row r="26" spans="1:9" x14ac:dyDescent="0.3">
      <c r="E26" s="34" t="s">
        <v>223</v>
      </c>
      <c r="F26" s="33">
        <v>0</v>
      </c>
    </row>
    <row r="27" spans="1:9" x14ac:dyDescent="0.3">
      <c r="E27" s="33" t="s">
        <v>224</v>
      </c>
      <c r="F27" s="33">
        <v>14</v>
      </c>
    </row>
  </sheetData>
  <conditionalFormatting sqref="H9:H22">
    <cfRule type="cellIs" dxfId="1" priority="1" operator="equal">
      <formula>"Fail"</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FD1D-AAB7-4EFE-8BC6-2863EA8E360A}">
  <dimension ref="A1:I20"/>
  <sheetViews>
    <sheetView topLeftCell="A9" zoomScale="86" zoomScaleNormal="86" workbookViewId="0">
      <selection activeCell="B4" sqref="B4"/>
    </sheetView>
  </sheetViews>
  <sheetFormatPr defaultRowHeight="14.4" x14ac:dyDescent="0.3"/>
  <cols>
    <col min="2" max="2" width="34.88671875" customWidth="1"/>
    <col min="3" max="3" width="17.88671875" customWidth="1"/>
    <col min="4" max="4" width="47.5546875" customWidth="1"/>
    <col min="6" max="6" width="24.5546875" customWidth="1"/>
    <col min="7" max="7" width="13.33203125" customWidth="1"/>
  </cols>
  <sheetData>
    <row r="1" spans="1:9" ht="31.8" thickBot="1" x14ac:dyDescent="0.35">
      <c r="A1" s="1" t="s">
        <v>0</v>
      </c>
      <c r="B1" s="2" t="s">
        <v>1</v>
      </c>
    </row>
    <row r="2" spans="1:9" ht="31.8" thickBot="1" x14ac:dyDescent="0.35">
      <c r="A2" s="1" t="s">
        <v>2</v>
      </c>
      <c r="B2" s="2" t="s">
        <v>350</v>
      </c>
    </row>
    <row r="3" spans="1:9" ht="31.8" thickBot="1" x14ac:dyDescent="0.35">
      <c r="A3" s="1" t="s">
        <v>3</v>
      </c>
      <c r="B3" s="2" t="s">
        <v>8</v>
      </c>
    </row>
    <row r="4" spans="1:9" ht="31.8" thickBot="1" x14ac:dyDescent="0.35">
      <c r="A4" s="1" t="s">
        <v>4</v>
      </c>
      <c r="B4" s="3">
        <v>45976</v>
      </c>
    </row>
    <row r="5" spans="1:9" ht="31.8" thickBot="1" x14ac:dyDescent="0.35">
      <c r="A5" s="1" t="s">
        <v>5</v>
      </c>
      <c r="B5" s="2" t="s">
        <v>74</v>
      </c>
    </row>
    <row r="6" spans="1:9" ht="31.8" thickBot="1" x14ac:dyDescent="0.35">
      <c r="A6" s="1" t="s">
        <v>6</v>
      </c>
      <c r="B6" s="3">
        <v>45981</v>
      </c>
    </row>
    <row r="7" spans="1:9" ht="15" thickBot="1" x14ac:dyDescent="0.35"/>
    <row r="8" spans="1:9" ht="47.4" thickBot="1" x14ac:dyDescent="0.35">
      <c r="A8" s="4" t="s">
        <v>9</v>
      </c>
      <c r="B8" s="4" t="s">
        <v>10</v>
      </c>
      <c r="C8" s="5" t="s">
        <v>11</v>
      </c>
      <c r="D8" s="5" t="s">
        <v>12</v>
      </c>
      <c r="E8" s="4" t="s">
        <v>13</v>
      </c>
      <c r="F8" s="4" t="s">
        <v>14</v>
      </c>
      <c r="G8" s="4" t="s">
        <v>15</v>
      </c>
      <c r="H8" s="4" t="s">
        <v>16</v>
      </c>
      <c r="I8" s="4" t="s">
        <v>17</v>
      </c>
    </row>
    <row r="9" spans="1:9" ht="122.25" customHeight="1" thickBot="1" x14ac:dyDescent="0.35">
      <c r="A9" s="6" t="s">
        <v>21</v>
      </c>
      <c r="B9" s="7" t="s">
        <v>300</v>
      </c>
      <c r="C9" s="8" t="s">
        <v>18</v>
      </c>
      <c r="D9" s="15" t="s">
        <v>301</v>
      </c>
      <c r="E9" s="16" t="s">
        <v>148</v>
      </c>
      <c r="F9" s="11" t="s">
        <v>306</v>
      </c>
      <c r="G9" s="12" t="s">
        <v>275</v>
      </c>
      <c r="H9" s="13" t="s">
        <v>19</v>
      </c>
      <c r="I9" s="6" t="s">
        <v>274</v>
      </c>
    </row>
    <row r="10" spans="1:9" ht="96" customHeight="1" thickBot="1" x14ac:dyDescent="0.35">
      <c r="A10" s="6" t="s">
        <v>22</v>
      </c>
      <c r="B10" s="7" t="s">
        <v>302</v>
      </c>
      <c r="C10" s="14" t="s">
        <v>18</v>
      </c>
      <c r="D10" s="15" t="s">
        <v>303</v>
      </c>
      <c r="E10" s="16" t="s">
        <v>304</v>
      </c>
      <c r="F10" s="11" t="s">
        <v>305</v>
      </c>
      <c r="G10" s="12" t="s">
        <v>275</v>
      </c>
      <c r="H10" s="13" t="s">
        <v>19</v>
      </c>
      <c r="I10" s="6" t="s">
        <v>274</v>
      </c>
    </row>
    <row r="11" spans="1:9" ht="75" customHeight="1" thickBot="1" x14ac:dyDescent="0.35">
      <c r="A11" s="6" t="s">
        <v>23</v>
      </c>
      <c r="B11" s="7" t="s">
        <v>313</v>
      </c>
      <c r="C11" s="14" t="s">
        <v>18</v>
      </c>
      <c r="D11" s="15" t="s">
        <v>312</v>
      </c>
      <c r="E11" s="16" t="s">
        <v>148</v>
      </c>
      <c r="F11" s="11" t="s">
        <v>314</v>
      </c>
      <c r="G11" s="11" t="s">
        <v>315</v>
      </c>
      <c r="H11" s="13" t="s">
        <v>20</v>
      </c>
      <c r="I11" s="6" t="s">
        <v>274</v>
      </c>
    </row>
    <row r="12" spans="1:9" ht="110.25" customHeight="1" thickBot="1" x14ac:dyDescent="0.35">
      <c r="A12" s="6" t="s">
        <v>24</v>
      </c>
      <c r="B12" s="7" t="s">
        <v>307</v>
      </c>
      <c r="C12" s="14" t="s">
        <v>18</v>
      </c>
      <c r="D12" s="15" t="s">
        <v>309</v>
      </c>
      <c r="E12" s="16" t="s">
        <v>304</v>
      </c>
      <c r="F12" s="11" t="s">
        <v>310</v>
      </c>
      <c r="G12" s="12" t="s">
        <v>275</v>
      </c>
      <c r="H12" s="13" t="s">
        <v>19</v>
      </c>
      <c r="I12" s="6" t="s">
        <v>274</v>
      </c>
    </row>
    <row r="13" spans="1:9" ht="93.75" customHeight="1" thickBot="1" x14ac:dyDescent="0.35">
      <c r="A13" s="6" t="s">
        <v>25</v>
      </c>
      <c r="B13" s="7" t="s">
        <v>316</v>
      </c>
      <c r="C13" s="14" t="s">
        <v>18</v>
      </c>
      <c r="D13" s="15" t="s">
        <v>317</v>
      </c>
      <c r="E13" s="16" t="s">
        <v>308</v>
      </c>
      <c r="F13" s="11" t="s">
        <v>315</v>
      </c>
      <c r="G13" s="12" t="s">
        <v>314</v>
      </c>
      <c r="H13" s="13" t="s">
        <v>20</v>
      </c>
      <c r="I13" s="6" t="s">
        <v>274</v>
      </c>
    </row>
    <row r="14" spans="1:9" ht="79.5" customHeight="1" thickBot="1" x14ac:dyDescent="0.35">
      <c r="A14" s="6" t="s">
        <v>26</v>
      </c>
      <c r="B14" s="7" t="s">
        <v>318</v>
      </c>
      <c r="C14" s="14" t="s">
        <v>18</v>
      </c>
      <c r="D14" s="15" t="s">
        <v>319</v>
      </c>
      <c r="E14" s="16" t="s">
        <v>148</v>
      </c>
      <c r="F14" s="17" t="s">
        <v>320</v>
      </c>
      <c r="G14" s="12" t="s">
        <v>321</v>
      </c>
      <c r="H14" s="13" t="s">
        <v>20</v>
      </c>
      <c r="I14" s="6" t="s">
        <v>274</v>
      </c>
    </row>
    <row r="15" spans="1:9" ht="94.5" customHeight="1" thickBot="1" x14ac:dyDescent="0.35">
      <c r="A15" s="6" t="s">
        <v>27</v>
      </c>
      <c r="B15" s="7" t="s">
        <v>311</v>
      </c>
      <c r="C15" s="14" t="s">
        <v>18</v>
      </c>
      <c r="D15" s="15" t="s">
        <v>322</v>
      </c>
      <c r="E15" s="16" t="s">
        <v>148</v>
      </c>
      <c r="F15" s="17" t="s">
        <v>323</v>
      </c>
      <c r="G15" s="12" t="s">
        <v>275</v>
      </c>
      <c r="H15" s="13" t="s">
        <v>19</v>
      </c>
      <c r="I15" s="6" t="s">
        <v>274</v>
      </c>
    </row>
    <row r="17" spans="5:6" ht="15.6" x14ac:dyDescent="0.3">
      <c r="E17" s="32" t="s">
        <v>221</v>
      </c>
      <c r="F17" s="33">
        <v>4</v>
      </c>
    </row>
    <row r="18" spans="5:6" x14ac:dyDescent="0.3">
      <c r="E18" s="34" t="s">
        <v>222</v>
      </c>
      <c r="F18" s="33">
        <v>3</v>
      </c>
    </row>
    <row r="19" spans="5:6" x14ac:dyDescent="0.3">
      <c r="E19" s="34" t="s">
        <v>223</v>
      </c>
      <c r="F19" s="33">
        <v>0</v>
      </c>
    </row>
    <row r="20" spans="5:6" x14ac:dyDescent="0.3">
      <c r="E20" s="33" t="s">
        <v>224</v>
      </c>
      <c r="F20" s="33">
        <v>7</v>
      </c>
    </row>
  </sheetData>
  <phoneticPr fontId="11" type="noConversion"/>
  <conditionalFormatting sqref="H9:H15">
    <cfRule type="cellIs" dxfId="0" priority="1" operator="equal">
      <formula>"Fail"</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8024-0576-4C7E-94E3-405CF2905932}">
  <dimension ref="A1:G19"/>
  <sheetViews>
    <sheetView tabSelected="1" workbookViewId="0">
      <selection activeCell="G16" sqref="G16"/>
    </sheetView>
  </sheetViews>
  <sheetFormatPr defaultRowHeight="14.4" x14ac:dyDescent="0.3"/>
  <cols>
    <col min="1" max="1" width="29.109375" customWidth="1"/>
    <col min="2" max="2" width="55.109375" customWidth="1"/>
    <col min="3" max="3" width="18.44140625" customWidth="1"/>
    <col min="4" max="4" width="16" customWidth="1"/>
    <col min="5" max="5" width="15.109375" customWidth="1"/>
    <col min="6" max="6" width="19.5546875" customWidth="1"/>
    <col min="7" max="7" width="13" customWidth="1"/>
  </cols>
  <sheetData>
    <row r="1" spans="1:7" ht="22.8" x14ac:dyDescent="0.4">
      <c r="A1" s="73" t="s">
        <v>324</v>
      </c>
      <c r="B1" s="74"/>
      <c r="C1" s="74"/>
      <c r="D1" s="74"/>
      <c r="E1" s="74"/>
      <c r="F1" s="74"/>
      <c r="G1" s="21"/>
    </row>
    <row r="2" spans="1:7" ht="15.6" x14ac:dyDescent="0.3">
      <c r="A2" s="36" t="s">
        <v>325</v>
      </c>
      <c r="B2" s="37" t="s">
        <v>326</v>
      </c>
      <c r="C2" s="38"/>
      <c r="D2" s="38"/>
      <c r="E2" s="38"/>
      <c r="F2" s="38"/>
      <c r="G2" s="38"/>
    </row>
    <row r="3" spans="1:7" ht="15.6" x14ac:dyDescent="0.3">
      <c r="A3" s="38"/>
      <c r="B3" s="38"/>
      <c r="C3" s="38"/>
      <c r="D3" s="38"/>
      <c r="E3" s="38"/>
      <c r="F3" s="38"/>
      <c r="G3" s="38"/>
    </row>
    <row r="4" spans="1:7" ht="15.6" x14ac:dyDescent="0.3">
      <c r="A4" s="75" t="s">
        <v>327</v>
      </c>
      <c r="B4" s="40" t="s">
        <v>328</v>
      </c>
      <c r="C4" s="41"/>
      <c r="D4" s="41"/>
      <c r="E4" s="41"/>
      <c r="F4" s="42">
        <v>45</v>
      </c>
      <c r="G4" s="38"/>
    </row>
    <row r="5" spans="1:7" ht="15.6" x14ac:dyDescent="0.3">
      <c r="A5" s="76"/>
      <c r="B5" s="43" t="s">
        <v>329</v>
      </c>
      <c r="C5" s="41"/>
      <c r="D5" s="41"/>
      <c r="E5" s="41"/>
      <c r="F5" s="44">
        <f>SUM('Viet-Register'!F42,'Viet-AdminLogout'!F12,'Viet-ViewRevenueReport'!F15,'Viet-AddProductToCart'!F25,'Viet-ViewOrderHistory'!F25,'Viet-ManageOrder'!F18)</f>
        <v>25</v>
      </c>
      <c r="G5" s="38"/>
    </row>
    <row r="6" spans="1:7" ht="15.6" x14ac:dyDescent="0.3">
      <c r="A6" s="77"/>
      <c r="B6" s="78" t="s">
        <v>330</v>
      </c>
      <c r="C6" s="79"/>
      <c r="D6" s="79"/>
      <c r="E6" s="80"/>
      <c r="F6" s="39">
        <v>70</v>
      </c>
      <c r="G6" s="38"/>
    </row>
    <row r="7" spans="1:7" ht="15.6" x14ac:dyDescent="0.3">
      <c r="A7" s="81" t="s">
        <v>331</v>
      </c>
      <c r="B7" s="71"/>
      <c r="C7" s="71"/>
      <c r="D7" s="71"/>
      <c r="E7" s="71"/>
      <c r="F7" s="72"/>
      <c r="G7" s="45">
        <v>0</v>
      </c>
    </row>
    <row r="8" spans="1:7" ht="15.6" x14ac:dyDescent="0.3">
      <c r="A8" s="81" t="s">
        <v>332</v>
      </c>
      <c r="B8" s="71"/>
      <c r="C8" s="71"/>
      <c r="D8" s="71"/>
      <c r="E8" s="71"/>
      <c r="F8" s="72"/>
      <c r="G8" s="45">
        <v>0</v>
      </c>
    </row>
    <row r="9" spans="1:7" ht="15.6" x14ac:dyDescent="0.3">
      <c r="A9" s="81" t="s">
        <v>333</v>
      </c>
      <c r="B9" s="71"/>
      <c r="C9" s="71"/>
      <c r="D9" s="71"/>
      <c r="E9" s="71"/>
      <c r="F9" s="72"/>
      <c r="G9" s="45">
        <v>0</v>
      </c>
    </row>
    <row r="10" spans="1:7" ht="15.6" x14ac:dyDescent="0.3">
      <c r="A10" s="70" t="s">
        <v>334</v>
      </c>
      <c r="B10" s="71"/>
      <c r="C10" s="71"/>
      <c r="D10" s="71"/>
      <c r="E10" s="71"/>
      <c r="F10" s="72"/>
      <c r="G10" s="46">
        <f>F6</f>
        <v>70</v>
      </c>
    </row>
    <row r="11" spans="1:7" ht="15.6" x14ac:dyDescent="0.3">
      <c r="A11" s="70" t="s">
        <v>335</v>
      </c>
      <c r="B11" s="71"/>
      <c r="C11" s="71"/>
      <c r="D11" s="71"/>
      <c r="E11" s="71"/>
      <c r="F11" s="72"/>
      <c r="G11" s="47">
        <f>SUM(G7:G10)</f>
        <v>70</v>
      </c>
    </row>
    <row r="12" spans="1:7" ht="15.6" x14ac:dyDescent="0.3">
      <c r="A12" s="38"/>
      <c r="B12" s="38"/>
      <c r="C12" s="38"/>
      <c r="D12" s="38"/>
      <c r="E12" s="38"/>
      <c r="F12" s="38"/>
      <c r="G12" s="38"/>
    </row>
    <row r="13" spans="1:7" ht="15.6" x14ac:dyDescent="0.3">
      <c r="A13" s="48" t="s">
        <v>336</v>
      </c>
      <c r="B13" s="48" t="s">
        <v>10</v>
      </c>
      <c r="C13" s="49" t="s">
        <v>337</v>
      </c>
      <c r="D13" s="49" t="s">
        <v>338</v>
      </c>
      <c r="E13" s="50" t="s">
        <v>339</v>
      </c>
      <c r="F13" s="51" t="s">
        <v>340</v>
      </c>
      <c r="G13" s="49" t="s">
        <v>16</v>
      </c>
    </row>
    <row r="14" spans="1:7" ht="15.6" x14ac:dyDescent="0.3">
      <c r="A14" s="41" t="s">
        <v>7</v>
      </c>
      <c r="B14" s="41" t="s">
        <v>351</v>
      </c>
      <c r="C14" s="52">
        <v>1</v>
      </c>
      <c r="D14" s="52">
        <f>'Viet-Register'!F41/'Viet-Register'!F44</f>
        <v>0.76666666666666672</v>
      </c>
      <c r="E14" s="52">
        <f>C14-D14</f>
        <v>0.23333333333333328</v>
      </c>
      <c r="F14" s="59" t="s">
        <v>342</v>
      </c>
      <c r="G14" s="57" t="s">
        <v>20</v>
      </c>
    </row>
    <row r="15" spans="1:7" ht="15.6" x14ac:dyDescent="0.3">
      <c r="A15" s="41" t="s">
        <v>346</v>
      </c>
      <c r="B15" s="41" t="s">
        <v>352</v>
      </c>
      <c r="C15" s="52">
        <v>1</v>
      </c>
      <c r="D15" s="52">
        <f>'Viet-AdminLogout'!F11/'Viet-AdminLogout'!F14</f>
        <v>1</v>
      </c>
      <c r="E15" s="52">
        <f t="shared" ref="E15:E19" si="0">C15-D15</f>
        <v>0</v>
      </c>
      <c r="F15" s="60" t="s">
        <v>345</v>
      </c>
      <c r="G15" s="54" t="s">
        <v>19</v>
      </c>
    </row>
    <row r="16" spans="1:7" ht="15.6" x14ac:dyDescent="0.3">
      <c r="A16" s="41" t="s">
        <v>347</v>
      </c>
      <c r="B16" s="41" t="s">
        <v>353</v>
      </c>
      <c r="C16" s="52">
        <v>1</v>
      </c>
      <c r="D16" s="52">
        <f>'Viet-ViewRevenueReport'!F14/'Viet-ViewRevenueReport'!F17</f>
        <v>1</v>
      </c>
      <c r="E16" s="52">
        <f t="shared" si="0"/>
        <v>0</v>
      </c>
      <c r="F16" s="58" t="s">
        <v>344</v>
      </c>
      <c r="G16" s="54" t="s">
        <v>19</v>
      </c>
    </row>
    <row r="17" spans="1:7" ht="15.6" x14ac:dyDescent="0.3">
      <c r="A17" s="41" t="s">
        <v>348</v>
      </c>
      <c r="B17" s="41" t="s">
        <v>354</v>
      </c>
      <c r="C17" s="52">
        <v>1</v>
      </c>
      <c r="D17" s="52">
        <f>'Viet-AddProductToCart'!F24/'Viet-AddProductToCart'!F27</f>
        <v>0</v>
      </c>
      <c r="E17" s="52">
        <f t="shared" si="0"/>
        <v>1</v>
      </c>
      <c r="F17" s="55" t="s">
        <v>342</v>
      </c>
      <c r="G17" s="57" t="s">
        <v>20</v>
      </c>
    </row>
    <row r="18" spans="1:7" ht="15.6" x14ac:dyDescent="0.3">
      <c r="A18" s="41" t="s">
        <v>349</v>
      </c>
      <c r="B18" s="41" t="s">
        <v>355</v>
      </c>
      <c r="C18" s="52">
        <v>1</v>
      </c>
      <c r="D18" s="52">
        <f>'Viet-ViewOrderHistory'!F24/'Viet-ViewOrderHistory'!F27</f>
        <v>0.9285714285714286</v>
      </c>
      <c r="E18" s="52">
        <f t="shared" si="0"/>
        <v>7.1428571428571397E-2</v>
      </c>
      <c r="F18" s="58" t="s">
        <v>344</v>
      </c>
      <c r="G18" s="56" t="s">
        <v>343</v>
      </c>
    </row>
    <row r="19" spans="1:7" ht="15.6" x14ac:dyDescent="0.3">
      <c r="A19" s="41" t="s">
        <v>350</v>
      </c>
      <c r="B19" s="41" t="s">
        <v>356</v>
      </c>
      <c r="C19" s="52">
        <v>1</v>
      </c>
      <c r="D19" s="52">
        <f>'Viet-ManageOrder'!F17/'Viet-ManageOrder'!F20</f>
        <v>0.5714285714285714</v>
      </c>
      <c r="E19" s="52">
        <f t="shared" si="0"/>
        <v>0.4285714285714286</v>
      </c>
      <c r="F19" s="53" t="s">
        <v>341</v>
      </c>
      <c r="G19" s="57" t="s">
        <v>20</v>
      </c>
    </row>
  </sheetData>
  <mergeCells count="8">
    <mergeCell ref="A10:F10"/>
    <mergeCell ref="A11:F11"/>
    <mergeCell ref="A1:F1"/>
    <mergeCell ref="A4:A6"/>
    <mergeCell ref="B6:E6"/>
    <mergeCell ref="A7:F7"/>
    <mergeCell ref="A8:F8"/>
    <mergeCell ref="A9: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Viet-Register</vt:lpstr>
      <vt:lpstr>Viet-AdminLogout</vt:lpstr>
      <vt:lpstr>Viet-ViewRevenueReport</vt:lpstr>
      <vt:lpstr>Viet-AddProductToCart</vt:lpstr>
      <vt:lpstr>Viet-ViewOrderHistory</vt:lpstr>
      <vt:lpstr>Viet-ManageOrder</vt:lpstr>
      <vt:lpstr>Viet-Report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 Viet</dc:creator>
  <cp:lastModifiedBy>Nguyễn Mạnh</cp:lastModifiedBy>
  <dcterms:created xsi:type="dcterms:W3CDTF">2015-06-05T18:17:20Z</dcterms:created>
  <dcterms:modified xsi:type="dcterms:W3CDTF">2025-11-23T04:55:51Z</dcterms:modified>
</cp:coreProperties>
</file>