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 4\Testcase\Phan Quang Hiếu\"/>
    </mc:Choice>
  </mc:AlternateContent>
  <xr:revisionPtr revIDLastSave="0" documentId="13_ncr:1_{BB99F475-1E63-4E6D-9D6E-D5E1092913A9}" xr6:coauthVersionLast="47" xr6:coauthVersionMax="47" xr10:uidLastSave="{00000000-0000-0000-0000-000000000000}"/>
  <bookViews>
    <workbookView xWindow="-108" yWindow="-108" windowWidth="23256" windowHeight="12456" tabRatio="689" firstSheet="1" activeTab="4" xr2:uid="{E1D2F7B2-446A-4CAF-9B3B-505F3A57C587}"/>
  </bookViews>
  <sheets>
    <sheet name="Login (User)-Hiếu" sheetId="1" r:id="rId1"/>
    <sheet name="Admin-Hiếu" sheetId="2" r:id="rId2"/>
    <sheet name="MCU-Hiếu" sheetId="12" r:id="rId3"/>
    <sheet name="PM-Hiếu" sheetId="13" r:id="rId4"/>
    <sheet name="Logout-Hiếu" sheetId="5" r:id="rId5"/>
    <sheet name="UPI-Hiếu" sheetId="7" r:id="rId6"/>
    <sheet name="Forgot Pass-Hiếu" sheetId="9" r:id="rId7"/>
    <sheet name="Comment-Hiếu" sheetId="11" r:id="rId8"/>
    <sheet name="Test Report-Hiếu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4" l="1"/>
  <c r="G11" i="14" l="1"/>
  <c r="H13" i="13"/>
  <c r="H12" i="13"/>
  <c r="H11" i="13"/>
  <c r="H11" i="12"/>
  <c r="H10" i="12"/>
  <c r="H13" i="12" l="1"/>
  <c r="D15" i="14"/>
  <c r="E15" i="14"/>
  <c r="H14" i="13"/>
  <c r="D16" i="14" s="1"/>
  <c r="E16" i="14" l="1"/>
  <c r="H14" i="9"/>
  <c r="H13" i="9"/>
  <c r="H12" i="9"/>
  <c r="E20" i="14" l="1"/>
  <c r="H15" i="9"/>
  <c r="C21" i="14" s="1"/>
  <c r="H15" i="2"/>
  <c r="H16" i="2"/>
  <c r="H17" i="2"/>
  <c r="H17" i="11"/>
  <c r="H16" i="11"/>
  <c r="H15" i="11"/>
  <c r="H26" i="7"/>
  <c r="H25" i="7"/>
  <c r="H24" i="7"/>
  <c r="H25" i="5"/>
  <c r="H24" i="5"/>
  <c r="H23" i="5"/>
  <c r="D20" i="14" l="1"/>
  <c r="H18" i="11"/>
  <c r="D21" i="14" s="1"/>
  <c r="H27" i="7"/>
  <c r="E19" i="14" s="1"/>
  <c r="H18" i="2"/>
  <c r="D14" i="14" s="1"/>
  <c r="H26" i="5"/>
  <c r="D18" i="14" s="1"/>
  <c r="H37" i="1"/>
  <c r="H38" i="1"/>
  <c r="H39" i="1"/>
  <c r="E14" i="14" l="1"/>
  <c r="E21" i="14"/>
  <c r="D19" i="14"/>
  <c r="E18" i="14"/>
  <c r="H40" i="1"/>
  <c r="E17" i="14" s="1"/>
  <c r="D17" i="14" l="1"/>
</calcChain>
</file>

<file path=xl/sharedStrings.xml><?xml version="1.0" encoding="utf-8"?>
<sst xmlns="http://schemas.openxmlformats.org/spreadsheetml/2006/main" count="918" uniqueCount="373">
  <si>
    <t>Project Name</t>
  </si>
  <si>
    <t>Vẽ các bảng kỹ thuật viết testcase bên dưới</t>
  </si>
  <si>
    <t>Module Name</t>
  </si>
  <si>
    <t>Created By</t>
  </si>
  <si>
    <t>Creation Date</t>
  </si>
  <si>
    <t>Reviewed By</t>
  </si>
  <si>
    <t>Reviewed Date</t>
  </si>
  <si>
    <t>Test Case ID</t>
  </si>
  <si>
    <t>Description</t>
  </si>
  <si>
    <t>Precondition</t>
  </si>
  <si>
    <t>Test Steps</t>
  </si>
  <si>
    <t>Test Data</t>
  </si>
  <si>
    <t>Expected Result</t>
  </si>
  <si>
    <t>Actual Result</t>
  </si>
  <si>
    <t>Status</t>
  </si>
  <si>
    <t>Comments(if any)</t>
  </si>
  <si>
    <t>Pass</t>
  </si>
  <si>
    <t>Fail</t>
  </si>
  <si>
    <t>Pending</t>
  </si>
  <si>
    <t>Total</t>
  </si>
  <si>
    <t xml:space="preserve">36FULLZ </t>
  </si>
  <si>
    <t>None</t>
  </si>
  <si>
    <t>Equivalence</t>
  </si>
  <si>
    <t>product.php?sanpham_id=99999</t>
  </si>
  <si>
    <t>product.php?sanpham_id=</t>
  </si>
  <si>
    <t>Error Guessing</t>
  </si>
  <si>
    <t>FP-001</t>
  </si>
  <si>
    <t>Forgot Password Flow</t>
  </si>
  <si>
    <t>Forgot Password</t>
  </si>
  <si>
    <t>Phan Quang Hieu</t>
  </si>
  <si>
    <t>Team Member</t>
  </si>
  <si>
    <t>Email: phansiesta@gmail.com</t>
  </si>
  <si>
    <t>LO-001</t>
  </si>
  <si>
    <t>LO-002</t>
  </si>
  <si>
    <t>LO-003</t>
  </si>
  <si>
    <t>LO-004</t>
  </si>
  <si>
    <t>LO-006</t>
  </si>
  <si>
    <t>LO-007</t>
  </si>
  <si>
    <t>LO-008</t>
  </si>
  <si>
    <t>LO-009</t>
  </si>
  <si>
    <t>LO-010</t>
  </si>
  <si>
    <t>LO-001 (F)</t>
  </si>
  <si>
    <t>LO-002 (F)</t>
  </si>
  <si>
    <t>LO-003 (F)</t>
  </si>
  <si>
    <t>LO-004 (F)</t>
  </si>
  <si>
    <t>Logout</t>
  </si>
  <si>
    <t>Logout Success (KH01)</t>
  </si>
  <si>
    <t>- Website is running
- User KH01 logged in</t>
  </si>
  <si>
    <t>Logout button disappears, "Login/Register" button reappears</t>
  </si>
  <si>
    <t>Logout Success (KH02)</t>
  </si>
  <si>
    <t>- Website is running
- User KH02 logged in</t>
  </si>
  <si>
    <t>Email: dvy00333@gmail.com</t>
  </si>
  <si>
    <t>1. Click User Icon
2. Click "Logout"</t>
  </si>
  <si>
    <t>"Login/Register" button reappears</t>
  </si>
  <si>
    <t>Logout Success (KH03)</t>
  </si>
  <si>
    <t>- Website is running
- User KH03 logged in</t>
  </si>
  <si>
    <t>Email: vuhuynhphan5@gmail.com</t>
  </si>
  <si>
    <t>Logout Success (KH04)</t>
  </si>
  <si>
    <t>Logout Success (KH05)</t>
  </si>
  <si>
    <t>Logout Success (KH06)</t>
  </si>
  <si>
    <t>Logout Success (KH07)</t>
  </si>
  <si>
    <t>Logout Success (KH08)</t>
  </si>
  <si>
    <t>Logout Success (KH09)</t>
  </si>
  <si>
    <t>Logout Success (KH10)</t>
  </si>
  <si>
    <t>- Website is running
- User KH06 logged in</t>
  </si>
  <si>
    <t>- Website is running
- User KH05 logged in</t>
  </si>
  <si>
    <t>- Website is running
- User KH04 logged in</t>
  </si>
  <si>
    <t>- Website is running
- User KH07 logged in</t>
  </si>
  <si>
    <t>- Website is running
- User KH08 logged in</t>
  </si>
  <si>
    <t>- Website is running
- User KH09 logged in</t>
  </si>
  <si>
    <t>- Website is running
- User KH10 logged in</t>
  </si>
  <si>
    <t>Email with special chars</t>
  </si>
  <si>
    <t>Email with spaces</t>
  </si>
  <si>
    <t>User: phansiesta (wrong)
Pass: 1 (wrong)</t>
  </si>
  <si>
    <t>Email: phanquanghieusuper@gmail.com</t>
  </si>
  <si>
    <t>Email: phanmashiro@gmail.com</t>
  </si>
  <si>
    <t>Email: caovit4@gmail.com</t>
  </si>
  <si>
    <t>Email: camilsteger@gmail.com</t>
  </si>
  <si>
    <t>Email: blackriderblacksun@gmailcom</t>
  </si>
  <si>
    <t>Email: henshindecade1010@gmail.com</t>
  </si>
  <si>
    <t>Email: shinphan22@gmail.com</t>
  </si>
  <si>
    <t>State remains "Not Logged In"</t>
  </si>
  <si>
    <t>State remains "Not Logged In" (User button does not exist)</t>
  </si>
  <si>
    <t>Logout Failed (Email with spaces)</t>
  </si>
  <si>
    <t>N/A</t>
  </si>
  <si>
    <t>User logged in</t>
  </si>
  <si>
    <t>1. Login
2. Click Logout</t>
  </si>
  <si>
    <t>1. Attempt login with wrong creds
2. Check logout button</t>
  </si>
  <si>
    <t>LO-005</t>
  </si>
  <si>
    <t>LI-001</t>
  </si>
  <si>
    <t>LI-002</t>
  </si>
  <si>
    <t>LI-003</t>
  </si>
  <si>
    <t>LI-004</t>
  </si>
  <si>
    <t>LI-005</t>
  </si>
  <si>
    <t>LI-006</t>
  </si>
  <si>
    <t>LI-007</t>
  </si>
  <si>
    <t>LI-008</t>
  </si>
  <si>
    <t>LI-009</t>
  </si>
  <si>
    <t>LI-010</t>
  </si>
  <si>
    <t>LI-011</t>
  </si>
  <si>
    <t>LI-012</t>
  </si>
  <si>
    <t>LI-001 (F)</t>
  </si>
  <si>
    <t>LI-001.1 (F)</t>
  </si>
  <si>
    <t>LI-001.2 (F)</t>
  </si>
  <si>
    <t>LI-001.3 (F)</t>
  </si>
  <si>
    <t>LI-001.4 (F)</t>
  </si>
  <si>
    <t>LI-001.5 (F)</t>
  </si>
  <si>
    <t>LI-001.6 (F)</t>
  </si>
  <si>
    <t>LI-001.7 (F)</t>
  </si>
  <si>
    <t>LI-001.8 (F)</t>
  </si>
  <si>
    <t>LI-001.9 (F)</t>
  </si>
  <si>
    <t>LI-001.10 (F)</t>
  </si>
  <si>
    <t>LI-001.11 (F)</t>
  </si>
  <si>
    <t>LI-001.12 (F)</t>
  </si>
  <si>
    <t>LI-001.13 (F)</t>
  </si>
  <si>
    <t>LI-001.14 (F)</t>
  </si>
  <si>
    <t>LI-001.15 (F)</t>
  </si>
  <si>
    <t>Login Success (KH01)</t>
  </si>
  <si>
    <t>Login Success (KH12)</t>
  </si>
  <si>
    <t>Login Success (KH11)</t>
  </si>
  <si>
    <t>Login Success (KH10)</t>
  </si>
  <si>
    <t>Login Success (KH09)</t>
  </si>
  <si>
    <t>Login Success (KH08)</t>
  </si>
  <si>
    <t>Login Success (KH07)</t>
  </si>
  <si>
    <t>Login Success (KH06)</t>
  </si>
  <si>
    <t>Login Success (KH05)</t>
  </si>
  <si>
    <t>Login Success (KH04)</t>
  </si>
  <si>
    <t>Login Success (KH03)</t>
  </si>
  <si>
    <t>Login Success (KH02)</t>
  </si>
  <si>
    <t>Account KH01 registered</t>
  </si>
  <si>
    <t>Email: phansiesta@gmail.com
Pass: 12345</t>
  </si>
  <si>
    <t>Email: caovit4@gmail.com
Pass: 12345</t>
  </si>
  <si>
    <t>Email: camilsteger@gmail.com
Pass: 12345</t>
  </si>
  <si>
    <t>Email: blackriderblacksun@gmailcom
Pass: 12345</t>
  </si>
  <si>
    <t>Email: henshindecade1010@gmail.com
Pass: 12345</t>
  </si>
  <si>
    <t>Email: phanmashiro@gmail.com
Pass: 12345</t>
  </si>
  <si>
    <t>Email: phanquanghieusuper@gmail.com
Pass: 12345</t>
  </si>
  <si>
    <t>Email: shinphan22@gmail.com
Pass: 12345</t>
  </si>
  <si>
    <t>Email: vuhuynhphan5@gmail.com
Pass: 12345</t>
  </si>
  <si>
    <t>Email: dvy00333@gmail.com
Pass: 12345</t>
  </si>
  <si>
    <t>Account KH02 registered</t>
  </si>
  <si>
    <t>Account KH03 registered</t>
  </si>
  <si>
    <t>Account KH04 registered</t>
  </si>
  <si>
    <t>Account KH05 registered</t>
  </si>
  <si>
    <t>Account KH06 registered</t>
  </si>
  <si>
    <t>Account KH07 registered</t>
  </si>
  <si>
    <t>Account KH08 registered</t>
  </si>
  <si>
    <t>Account KH09 registered</t>
  </si>
  <si>
    <t>Account KH10 registered</t>
  </si>
  <si>
    <t>Account KH11 registered</t>
  </si>
  <si>
    <t>Account KH12 registered</t>
  </si>
  <si>
    <t>1. Open Login modal
2. Enter Email &amp; Pass
3. Click Login</t>
  </si>
  <si>
    <t>User name displayed on header</t>
  </si>
  <si>
    <t>User name displayed on header (.header__navbar-user-name)</t>
  </si>
  <si>
    <t>Login (User)</t>
  </si>
  <si>
    <t>Login Failed (Password with spaces)</t>
  </si>
  <si>
    <t>Login Failed (Unregistered Email)</t>
  </si>
  <si>
    <t>Pass: 123 45</t>
  </si>
  <si>
    <t>Account exists</t>
  </si>
  <si>
    <t>'Account exists</t>
  </si>
  <si>
    <t>Login Failed (Wrong Password)</t>
  </si>
  <si>
    <t>Pass: sai_pass</t>
  </si>
  <si>
    <t>Pass: wrongpass123</t>
  </si>
  <si>
    <t>Email: wrongemail@gmail.com</t>
  </si>
  <si>
    <t>Login Failed (Wrong Email)</t>
  </si>
  <si>
    <t>Login Failed (Specific Wrong Pass)</t>
  </si>
  <si>
    <t>Login Failed (Email missing @)</t>
  </si>
  <si>
    <t>Email: phansiestagmail.com</t>
  </si>
  <si>
    <t>Login Failed (Email missing domain)</t>
  </si>
  <si>
    <t>Email: phansiesta@</t>
  </si>
  <si>
    <t>Login Failed (Empty Email)</t>
  </si>
  <si>
    <t>Email: [Empty]</t>
  </si>
  <si>
    <t>Login Failed (Empty Password)</t>
  </si>
  <si>
    <t>Pass: [Empty]</t>
  </si>
  <si>
    <t>Login Failed (Empty Both)</t>
  </si>
  <si>
    <t>[Empty]</t>
  </si>
  <si>
    <t>Login Failed (Special Char Email)</t>
  </si>
  <si>
    <t>Email: phan#$@gmail.com</t>
  </si>
  <si>
    <t>Login Failed (Special Char Password)</t>
  </si>
  <si>
    <t>Pass: @@@###</t>
  </si>
  <si>
    <t>Login Failed (Email too short)</t>
  </si>
  <si>
    <t>Email: a@b</t>
  </si>
  <si>
    <t>Login Failed (Password too short)</t>
  </si>
  <si>
    <t>Pass: 1</t>
  </si>
  <si>
    <t>Login Failed (SQL Injection)</t>
  </si>
  <si>
    <t>Email: ' OR 1=1 --</t>
  </si>
  <si>
    <t>Login Failed (Email with spaces)</t>
  </si>
  <si>
    <t>1. Enter correct Email
2. Enter wrong Pass
3. Click Login</t>
  </si>
  <si>
    <t>1. Leave Email empty
2. Enter Password
3. Click Login</t>
  </si>
  <si>
    <t>1. Enter Email without @
2. Click Login</t>
  </si>
  <si>
    <t>1. Enter wrong Email
2. Enter correct Pass
3. Click Login</t>
  </si>
  <si>
    <t>1. Enter Email missing domain
2. Click Login</t>
  </si>
  <si>
    <t>1. Enter Email
2. Leave Password empty
3. Click Login</t>
  </si>
  <si>
    <t>1. Enter SQL Injection in Email
2. Click Login</t>
  </si>
  <si>
    <t>1. Enter Pass with spaces
2. Click Login</t>
  </si>
  <si>
    <t>1. Enter unregistered Email
2. Click Login</t>
  </si>
  <si>
    <t>1. Enter Email with spaces
2. Click Login</t>
  </si>
  <si>
    <t>1. Enter 1-char Pass
2. Click Login</t>
  </si>
  <si>
    <t>1. Enter very short Email
2. Click Login</t>
  </si>
  <si>
    <t>1. Enter correct Email
2. Enter special char Pass
3. Click Login</t>
  </si>
  <si>
    <t>1. Leave both empty
2. Click Login</t>
  </si>
  <si>
    <t>1. Enter Email with special chars
2. Click Login</t>
  </si>
  <si>
    <t>Display error message</t>
  </si>
  <si>
    <t>Display validation error</t>
  </si>
  <si>
    <t>Display "Please enter Password" requirement</t>
  </si>
  <si>
    <t>Display "Please enter Email" requirement</t>
  </si>
  <si>
    <t>Display HTML5/JS validation error</t>
  </si>
  <si>
    <t>Display error message "Email or password incorrect"</t>
  </si>
  <si>
    <t>ADL-001</t>
  </si>
  <si>
    <t>ADL-001 (F)</t>
  </si>
  <si>
    <t>Admin Login Success</t>
  </si>
  <si>
    <t>Admin account exists in DB</t>
  </si>
  <si>
    <t>Login successful, URL redirects to /admin/index.php</t>
  </si>
  <si>
    <t xml:space="preserve">Admin Login Failed (Wrong Password) </t>
  </si>
  <si>
    <t>Admin Login Failed (Wrong Username)</t>
  </si>
  <si>
    <t>Admin Login Failed (Empty Password)</t>
  </si>
  <si>
    <t>Admin Login Failed (Special Char Username)</t>
  </si>
  <si>
    <t>Admin Login Failed (Special Char Password)</t>
  </si>
  <si>
    <t>Add New Product</t>
  </si>
  <si>
    <t>Delete Product</t>
  </si>
  <si>
    <t>Customer Management</t>
  </si>
  <si>
    <t>Name of the newly created product</t>
  </si>
  <si>
    <t>Admin account exists</t>
  </si>
  <si>
    <t>ADL-002 (F)</t>
  </si>
  <si>
    <t>ADL-003 (F)</t>
  </si>
  <si>
    <t>ADL-004 (F)</t>
  </si>
  <si>
    <t>ADL-005 (F)</t>
  </si>
  <si>
    <t>PM-001</t>
  </si>
  <si>
    <t>PM-002</t>
  </si>
  <si>
    <t>MCU-001</t>
  </si>
  <si>
    <t>Logged in as Admin</t>
  </si>
  <si>
    <t>Logged in as Admin; Product exists</t>
  </si>
  <si>
    <t>Text inputs, Selects, Image: test.jpg</t>
  </si>
  <si>
    <t>User: Admin1
Pass: Ad123456</t>
  </si>
  <si>
    <t>User: Admin1
Pass: hdfhd4</t>
  </si>
  <si>
    <t>User: 457y45
Pass: Ad123456</t>
  </si>
  <si>
    <t>User: 12312124
Pass: [Empty]</t>
  </si>
  <si>
    <t>User: @##@@!
Pass: Ad123456</t>
  </si>
  <si>
    <t>User: Admin1
Pass: @)!*(!#</t>
  </si>
  <si>
    <t>1. Visit .../admin
2. Enter Username
3. Enter Password
4. Click Submit</t>
  </si>
  <si>
    <t>1. Visit admin/registerKH.php</t>
  </si>
  <si>
    <t>1. Go to Sanphamlist.php
2. Find the row containing the product
3. Click Delete icon
4. Confirm browser popup</t>
  </si>
  <si>
    <t>1. Go to Sanphamadd.php
2. Enter full details (Name, Code, Price...)
3. Select dropdowns/size checkboxes
4. Upload image
5. Click "Send" (Submit)</t>
  </si>
  <si>
    <t>1. Visit Admin page
2. Enter correct Username
3. Enter Password with special chars
4. Click Submit</t>
  </si>
  <si>
    <t>1. Visit Admin page
2. Enter Username with special chars
3. Enter correct Password
4. Click Submit</t>
  </si>
  <si>
    <t>1. Visit Admin page
2. Enter Username
3. Leave Password empty
4. Click Submit</t>
  </si>
  <si>
    <t>1. Visit Admin page
2. Enter wrong Username
3. Enter correct Password
4. Click Submit</t>
  </si>
  <si>
    <t>1. Visit Admin page
2. Enter correct Username
3. Enter wrong Password
4. Click Submit</t>
  </si>
  <si>
    <t>Page displays list with header "All Customers"</t>
  </si>
  <si>
    <t>URL is Sanphamlist.php, product is removed from the table</t>
  </si>
  <si>
    <t>URL redirects to Sanphamlist.php, new product appears in the list</t>
  </si>
  <si>
    <t>System does not redirect, remains on Login page</t>
  </si>
  <si>
    <t>System does not allow login</t>
  </si>
  <si>
    <t>CMT-001</t>
  </si>
  <si>
    <t>CMT-002</t>
  </si>
  <si>
    <t>CMT-003</t>
  </si>
  <si>
    <t>CMT-004</t>
  </si>
  <si>
    <t>CMT-005</t>
  </si>
  <si>
    <t>CMT-006</t>
  </si>
  <si>
    <t>- Website is running
- User logged in</t>
  </si>
  <si>
    <t>URL remains same, input field resets to empty</t>
  </si>
  <si>
    <t>URL remains same, input field resets</t>
  </si>
  <si>
    <t>Name: Tester Cypress
Content: Product is beautiful!</t>
  </si>
  <si>
    <t>1. Visit Product ID=19B3046
2. Enter Name &amp; Content
3. Click Send</t>
  </si>
  <si>
    <t>Name: Designer Cypress
Content: Fast delivery, 10/10</t>
  </si>
  <si>
    <t>Name: Backend Cypress
Content: Where is my order?</t>
  </si>
  <si>
    <t>Name: Frontend Cypress
Content: Eye-catching product</t>
  </si>
  <si>
    <t>Name: Team leader Cypress
Content: Can you ship?</t>
  </si>
  <si>
    <t>Name: Developer Cypress
Content: I want to buy more!</t>
  </si>
  <si>
    <t>UPI-001</t>
  </si>
  <si>
    <t>UPI-002</t>
  </si>
  <si>
    <t>UPI-003</t>
  </si>
  <si>
    <t>UPI-004</t>
  </si>
  <si>
    <t>UPI-005</t>
  </si>
  <si>
    <t>UPI-006</t>
  </si>
  <si>
    <t>UPI-007</t>
  </si>
  <si>
    <t>UPI-008</t>
  </si>
  <si>
    <t>UPI-009</t>
  </si>
  <si>
    <t>UPI-010</t>
  </si>
  <si>
    <t>UPI-011</t>
  </si>
  <si>
    <t>UPI-012</t>
  </si>
  <si>
    <t>UPI-013</t>
  </si>
  <si>
    <t>UPI-014</t>
  </si>
  <si>
    <t>UPI-015</t>
  </si>
  <si>
    <t>Update Information (Main User)</t>
  </si>
  <si>
    <t>Update Information (User01)</t>
  </si>
  <si>
    <t>Update Information (User02)</t>
  </si>
  <si>
    <t>Update Information (User03)</t>
  </si>
  <si>
    <t>Update Information (User04)</t>
  </si>
  <si>
    <t>Update Information (User05)</t>
  </si>
  <si>
    <t>Update Information (User06)</t>
  </si>
  <si>
    <t>Update Information (User07)</t>
  </si>
  <si>
    <t>Update Information (User08)</t>
  </si>
  <si>
    <t>Update Information (User09)</t>
  </si>
  <si>
    <t>Update Information (User10)</t>
  </si>
  <si>
    <t>Update Information (User11)</t>
  </si>
  <si>
    <t>Update Information (User12)</t>
  </si>
  <si>
    <t>Update Information (User13)</t>
  </si>
  <si>
    <t>Update Information (User14)</t>
  </si>
  <si>
    <t>1. Login
2. Go to Profile -&gt; Click "Update Info"
3. Enter new Name &amp; Phone
4. Click Update</t>
  </si>
  <si>
    <t>Redirect to profile.php, Name and Phone display correctly as updated</t>
  </si>
  <si>
    <t>New information is updated and displayed correctly</t>
  </si>
  <si>
    <t>1. Profile -&gt; Update
2. Enter new Name &amp; Phone
3. Save</t>
  </si>
  <si>
    <t>Name: User [Time]
Phone: 0909123456</t>
  </si>
  <si>
    <t>Name: Bin [Time]
Phone: 0909939393</t>
  </si>
  <si>
    <t>Name: Khanghoai [Time]
Phone: 0909898675</t>
  </si>
  <si>
    <t>Name: boom [Time]
Phone: 0909012831</t>
  </si>
  <si>
    <t>Name: nguoi ko ten [Time]
Phone: 0904012932</t>
  </si>
  <si>
    <t>Name: kaboom [Time]
Phone: 0909418392</t>
  </si>
  <si>
    <t>Name: Noname [Time]
Phone: 0906012932</t>
  </si>
  <si>
    <t>Name: Unknown [Time]
Phone: 0903041053</t>
  </si>
  <si>
    <t>Name: User [Time]
Phone: 0933018123</t>
  </si>
  <si>
    <t>Name: hoai [Time]
Phone: 0905091022</t>
  </si>
  <si>
    <t>Name: huy [Time]
Phone: 0904010102</t>
  </si>
  <si>
    <t>Name: khoi [Time]
Phone: 0909000111</t>
  </si>
  <si>
    <t>Name: khang [Time]
Phone: 0909665544</t>
  </si>
  <si>
    <t>Name: hoang [Time]
Phone: 0909654321</t>
  </si>
  <si>
    <t>Name: le khai [Time]
Phone: 0909512838</t>
  </si>
  <si>
    <t>Update Infomation (UPI)</t>
  </si>
  <si>
    <t>1. Open Login modal
2. Click "Forgot Password"
3. Enter Email
4. Click "Get Password"
5. Click "Return to Login"</t>
  </si>
  <si>
    <t>Email account exists in system</t>
  </si>
  <si>
    <t>FP-002</t>
  </si>
  <si>
    <t>FP-001.1 (F)</t>
  </si>
  <si>
    <t>Redirects to forgot.php, steps complete without errors</t>
  </si>
  <si>
    <t>Redirects to , steps complete without errors</t>
  </si>
  <si>
    <t>Forgot Password Failed</t>
  </si>
  <si>
    <t>Logout Failed (Fixed case)</t>
  </si>
  <si>
    <t>Logout Failed (Wrong user/pass)</t>
  </si>
  <si>
    <t>Logout Failed (Special Characters)</t>
  </si>
  <si>
    <t>Email: phanquanghiesuper@gmail.com</t>
  </si>
  <si>
    <t>Email: phansiestgmail.com</t>
  </si>
  <si>
    <t>Team Lead</t>
  </si>
  <si>
    <t>Comment(CMT)</t>
  </si>
  <si>
    <t>- Website is running
- Logged in as Admin</t>
  </si>
  <si>
    <t>Product Management(PM)</t>
  </si>
  <si>
    <t>Admin Login</t>
  </si>
  <si>
    <t>TEST REPORT</t>
  </si>
  <si>
    <t>Test Cycle</t>
  </si>
  <si>
    <t>System Test</t>
  </si>
  <si>
    <t>Executed</t>
  </si>
  <si>
    <t>Passed</t>
  </si>
  <si>
    <t>Failed</t>
  </si>
  <si>
    <t>(Total) Test executed (Passed + Failed)</t>
  </si>
  <si>
    <t>In Process</t>
  </si>
  <si>
    <t>Blocked</t>
  </si>
  <si>
    <t>(Sub-total) Test Planned</t>
  </si>
  <si>
    <t>Pending + In Process + Blocked + Test Planned</t>
  </si>
  <si>
    <t>Function</t>
  </si>
  <si>
    <t>% TCs Executed</t>
  </si>
  <si>
    <t>% TCs Passed</t>
  </si>
  <si>
    <t>% TCs Failed</t>
  </si>
  <si>
    <t>Priority</t>
  </si>
  <si>
    <t>High</t>
  </si>
  <si>
    <t>Medium</t>
  </si>
  <si>
    <t>Admin</t>
  </si>
  <si>
    <t>Login</t>
  </si>
  <si>
    <t>Customer feedback</t>
  </si>
  <si>
    <t>Customer feedback KH01</t>
  </si>
  <si>
    <t>Customer feedback KH02</t>
  </si>
  <si>
    <t>Customer feedback KH03</t>
  </si>
  <si>
    <t>Customer feedback KH04</t>
  </si>
  <si>
    <t>Customer feedback KH05</t>
  </si>
  <si>
    <t>Customer feedback KH06</t>
  </si>
  <si>
    <t>Update Information Users</t>
  </si>
  <si>
    <t>Logout Success</t>
  </si>
  <si>
    <t>Login Success</t>
  </si>
  <si>
    <t>Manage customer profiles, activity logs, and account status.</t>
  </si>
  <si>
    <t>Manage product details, inventory and categories</t>
  </si>
  <si>
    <t>Manage customer profiles and account status.</t>
  </si>
  <si>
    <t>Low</t>
  </si>
  <si>
    <t>Unstable</t>
  </si>
  <si>
    <t>Low-Medium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</si>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</sst>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161C2D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charset val="163"/>
      <scheme val="minor"/>
    </font>
    <font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rgb="FF1F3864"/>
      <name val="Times New Roman"/>
      <family val="1"/>
    </font>
    <font>
      <sz val="12"/>
      <color rgb="FF1F3864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14" fontId="2" fillId="2" borderId="1" xfId="0" applyNumberFormat="1" applyFont="1" applyFill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9" xfId="0" quotePrefix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center" vertical="center" wrapText="1"/>
    </xf>
    <xf numFmtId="0" fontId="2" fillId="0" borderId="14" xfId="0" quotePrefix="1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5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right" vertical="center" wrapText="1"/>
    </xf>
    <xf numFmtId="0" fontId="2" fillId="0" borderId="16" xfId="0" quotePrefix="1" applyFont="1" applyBorder="1" applyAlignment="1">
      <alignment horizontal="left" vertical="center" wrapText="1"/>
    </xf>
    <xf numFmtId="0" fontId="2" fillId="0" borderId="17" xfId="0" quotePrefix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4" borderId="11" xfId="0" quotePrefix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" fillId="0" borderId="0" xfId="0" applyFont="1"/>
    <xf numFmtId="0" fontId="12" fillId="0" borderId="0" xfId="0" applyFont="1"/>
    <xf numFmtId="0" fontId="12" fillId="0" borderId="20" xfId="0" applyFont="1" applyBorder="1"/>
    <xf numFmtId="0" fontId="2" fillId="0" borderId="20" xfId="0" applyFont="1" applyBorder="1"/>
    <xf numFmtId="0" fontId="13" fillId="0" borderId="20" xfId="0" applyFont="1" applyBorder="1"/>
    <xf numFmtId="0" fontId="3" fillId="0" borderId="20" xfId="0" applyFont="1" applyBorder="1"/>
    <xf numFmtId="0" fontId="8" fillId="0" borderId="20" xfId="0" applyFont="1" applyBorder="1"/>
    <xf numFmtId="0" fontId="2" fillId="0" borderId="19" xfId="0" applyFont="1" applyBorder="1"/>
    <xf numFmtId="0" fontId="2" fillId="0" borderId="20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1" fillId="8" borderId="20" xfId="0" applyFont="1" applyFill="1" applyBorder="1" applyAlignment="1">
      <alignment vertical="center"/>
    </xf>
    <xf numFmtId="9" fontId="2" fillId="0" borderId="20" xfId="0" applyNumberFormat="1" applyFont="1" applyBorder="1"/>
    <xf numFmtId="9" fontId="11" fillId="0" borderId="0" xfId="0" applyNumberFormat="1" applyFont="1"/>
    <xf numFmtId="0" fontId="2" fillId="4" borderId="20" xfId="0" applyFont="1" applyFill="1" applyBorder="1"/>
    <xf numFmtId="0" fontId="2" fillId="9" borderId="20" xfId="0" applyFont="1" applyFill="1" applyBorder="1"/>
    <xf numFmtId="0" fontId="2" fillId="10" borderId="20" xfId="0" applyFont="1" applyFill="1" applyBorder="1"/>
    <xf numFmtId="0" fontId="2" fillId="9" borderId="0" xfId="0" applyFont="1" applyFill="1"/>
    <xf numFmtId="9" fontId="2" fillId="11" borderId="20" xfId="0" applyNumberFormat="1" applyFont="1" applyFill="1" applyBorder="1"/>
    <xf numFmtId="0" fontId="1" fillId="12" borderId="20" xfId="0" applyFont="1" applyFill="1" applyBorder="1"/>
    <xf numFmtId="0" fontId="3" fillId="13" borderId="20" xfId="0" applyFont="1" applyFill="1" applyBorder="1"/>
    <xf numFmtId="0" fontId="1" fillId="4" borderId="20" xfId="0" applyFont="1" applyFill="1" applyBorder="1"/>
    <xf numFmtId="0" fontId="1" fillId="0" borderId="20" xfId="0" applyFont="1" applyBorder="1"/>
    <xf numFmtId="0" fontId="1" fillId="14" borderId="20" xfId="0" applyFont="1" applyFill="1" applyBorder="1"/>
    <xf numFmtId="0" fontId="1" fillId="9" borderId="20" xfId="0" applyFont="1" applyFill="1" applyBorder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5" fillId="0" borderId="26" xfId="0" applyFont="1" applyBorder="1" applyAlignment="1">
      <alignment horizontal="left"/>
    </xf>
    <xf numFmtId="0" fontId="14" fillId="0" borderId="27" xfId="0" applyFont="1" applyBorder="1"/>
    <xf numFmtId="0" fontId="14" fillId="0" borderId="28" xfId="0" applyFont="1" applyBorder="1"/>
    <xf numFmtId="0" fontId="9" fillId="7" borderId="0" xfId="0" applyFont="1" applyFill="1" applyAlignment="1">
      <alignment horizontal="center"/>
    </xf>
    <xf numFmtId="0" fontId="10" fillId="0" borderId="0" xfId="0" applyFont="1"/>
    <xf numFmtId="0" fontId="2" fillId="0" borderId="19" xfId="0" applyFont="1" applyBorder="1" applyAlignment="1">
      <alignment horizontal="center" vertical="center"/>
    </xf>
    <xf numFmtId="0" fontId="14" fillId="0" borderId="21" xfId="0" applyFont="1" applyBorder="1"/>
    <xf numFmtId="0" fontId="14" fillId="0" borderId="22" xfId="0" applyFont="1" applyBorder="1"/>
    <xf numFmtId="0" fontId="15" fillId="0" borderId="23" xfId="0" applyFont="1" applyBorder="1" applyAlignment="1">
      <alignment horizontal="left"/>
    </xf>
    <xf numFmtId="0" fontId="14" fillId="0" borderId="24" xfId="0" applyFont="1" applyBorder="1"/>
    <xf numFmtId="0" fontId="14" fillId="0" borderId="25" xfId="0" applyFont="1" applyBorder="1"/>
    <xf numFmtId="0" fontId="2" fillId="0" borderId="26" xfId="0" applyFont="1" applyBorder="1" applyAlignment="1">
      <alignment horizontal="left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B7E6-CCFE-443C-9257-558BD63CB5A4}">
  <dimension ref="A1:I1008"/>
  <sheetViews>
    <sheetView topLeftCell="A24" zoomScale="70" zoomScaleNormal="70" workbookViewId="0">
      <selection activeCell="A20" sqref="A20"/>
    </sheetView>
  </sheetViews>
  <sheetFormatPr defaultColWidth="14.44140625" defaultRowHeight="15.6" x14ac:dyDescent="0.3"/>
  <cols>
    <col min="1" max="1" width="17.33203125" style="4" customWidth="1"/>
    <col min="2" max="2" width="29.44140625" style="4" customWidth="1"/>
    <col min="3" max="3" width="20.21875" style="4" bestFit="1" customWidth="1"/>
    <col min="4" max="4" width="21.109375" style="4" customWidth="1"/>
    <col min="5" max="5" width="35.21875" style="4" bestFit="1" customWidth="1"/>
    <col min="6" max="6" width="34.88671875" style="4" bestFit="1" customWidth="1"/>
    <col min="7" max="7" width="31.6640625" style="4" customWidth="1"/>
    <col min="8" max="8" width="8.44140625" style="4" customWidth="1"/>
    <col min="9" max="9" width="19.88671875" style="4" customWidth="1"/>
    <col min="10" max="26" width="8.6640625" style="4" customWidth="1"/>
    <col min="27" max="16384" width="14.44140625" style="4"/>
  </cols>
  <sheetData>
    <row r="1" spans="1:9" ht="16.2" thickBot="1" x14ac:dyDescent="0.35">
      <c r="A1" s="1" t="s">
        <v>0</v>
      </c>
      <c r="B1" s="2" t="s">
        <v>20</v>
      </c>
      <c r="C1" s="61" t="s">
        <v>1</v>
      </c>
      <c r="D1" s="62"/>
      <c r="E1" s="63"/>
      <c r="F1" s="3"/>
      <c r="G1" s="3"/>
      <c r="H1" s="3"/>
      <c r="I1" s="3"/>
    </row>
    <row r="2" spans="1:9" ht="16.2" thickBot="1" x14ac:dyDescent="0.35">
      <c r="A2" s="1" t="s">
        <v>2</v>
      </c>
      <c r="B2" s="2" t="s">
        <v>154</v>
      </c>
      <c r="C2" s="3"/>
      <c r="D2" s="3"/>
      <c r="E2" s="3"/>
      <c r="F2" s="3"/>
      <c r="G2" s="3"/>
      <c r="H2" s="3"/>
      <c r="I2" s="3"/>
    </row>
    <row r="3" spans="1:9" ht="16.2" thickBot="1" x14ac:dyDescent="0.35">
      <c r="A3" s="1" t="s">
        <v>3</v>
      </c>
      <c r="B3" s="2" t="s">
        <v>29</v>
      </c>
      <c r="C3" s="3"/>
      <c r="D3" s="3"/>
      <c r="E3" s="3"/>
      <c r="F3" s="3"/>
      <c r="G3" s="3"/>
      <c r="H3" s="3"/>
      <c r="I3" s="3"/>
    </row>
    <row r="4" spans="1:9" ht="16.2" thickBot="1" x14ac:dyDescent="0.35">
      <c r="A4" s="1" t="s">
        <v>4</v>
      </c>
      <c r="B4" s="5">
        <v>45976</v>
      </c>
      <c r="C4" s="6"/>
      <c r="D4" s="3"/>
      <c r="E4" s="3"/>
      <c r="F4" s="3"/>
      <c r="G4" s="3"/>
      <c r="H4" s="3"/>
      <c r="I4" s="3"/>
    </row>
    <row r="5" spans="1:9" ht="16.2" thickBot="1" x14ac:dyDescent="0.35">
      <c r="A5" s="1" t="s">
        <v>5</v>
      </c>
      <c r="B5" s="2" t="s">
        <v>30</v>
      </c>
      <c r="C5" s="3"/>
      <c r="D5" s="3"/>
      <c r="E5" s="3"/>
      <c r="F5" s="3"/>
      <c r="G5" s="3"/>
      <c r="H5" s="3"/>
      <c r="I5" s="3"/>
    </row>
    <row r="6" spans="1:9" ht="16.2" thickBot="1" x14ac:dyDescent="0.35">
      <c r="A6" s="1" t="s">
        <v>6</v>
      </c>
      <c r="B6" s="5">
        <v>45981</v>
      </c>
      <c r="C6" s="7"/>
      <c r="D6" s="3"/>
      <c r="E6" s="3"/>
      <c r="F6" s="3"/>
      <c r="G6" s="3"/>
      <c r="H6" s="3"/>
      <c r="I6" s="3"/>
    </row>
    <row r="7" spans="1:9" ht="14.25" customHeight="1" thickBot="1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ht="16.2" thickBot="1" x14ac:dyDescent="0.35">
      <c r="A8" s="9" t="s">
        <v>7</v>
      </c>
      <c r="B8" s="9" t="s">
        <v>8</v>
      </c>
      <c r="C8" s="28" t="s">
        <v>9</v>
      </c>
      <c r="D8" s="9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47.4" customHeight="1" thickBot="1" x14ac:dyDescent="0.35">
      <c r="A9" s="10" t="s">
        <v>89</v>
      </c>
      <c r="B9" s="15" t="s">
        <v>117</v>
      </c>
      <c r="C9" s="30" t="s">
        <v>129</v>
      </c>
      <c r="D9" s="17" t="s">
        <v>151</v>
      </c>
      <c r="E9" s="18" t="s">
        <v>130</v>
      </c>
      <c r="F9" s="16" t="s">
        <v>153</v>
      </c>
      <c r="G9" s="11" t="s">
        <v>153</v>
      </c>
      <c r="H9" s="21" t="s">
        <v>16</v>
      </c>
      <c r="I9" s="10" t="s">
        <v>22</v>
      </c>
    </row>
    <row r="10" spans="1:9" ht="60" customHeight="1" thickBot="1" x14ac:dyDescent="0.35">
      <c r="A10" s="10" t="s">
        <v>90</v>
      </c>
      <c r="B10" s="15" t="s">
        <v>128</v>
      </c>
      <c r="C10" s="29" t="s">
        <v>140</v>
      </c>
      <c r="D10" s="14" t="s">
        <v>151</v>
      </c>
      <c r="E10" s="19" t="s">
        <v>130</v>
      </c>
      <c r="F10" s="16" t="s">
        <v>152</v>
      </c>
      <c r="G10" s="13" t="s">
        <v>152</v>
      </c>
      <c r="H10" s="21" t="s">
        <v>16</v>
      </c>
      <c r="I10" s="10" t="s">
        <v>22</v>
      </c>
    </row>
    <row r="11" spans="1:9" ht="47.4" thickBot="1" x14ac:dyDescent="0.35">
      <c r="A11" s="10" t="s">
        <v>91</v>
      </c>
      <c r="B11" s="15" t="s">
        <v>127</v>
      </c>
      <c r="C11" s="29" t="s">
        <v>141</v>
      </c>
      <c r="D11" s="14" t="s">
        <v>151</v>
      </c>
      <c r="E11" s="19" t="s">
        <v>130</v>
      </c>
      <c r="F11" s="16" t="s">
        <v>152</v>
      </c>
      <c r="G11" s="13" t="s">
        <v>152</v>
      </c>
      <c r="H11" s="21" t="s">
        <v>16</v>
      </c>
      <c r="I11" s="10" t="s">
        <v>22</v>
      </c>
    </row>
    <row r="12" spans="1:9" ht="47.4" thickBot="1" x14ac:dyDescent="0.35">
      <c r="A12" s="10" t="s">
        <v>92</v>
      </c>
      <c r="B12" s="15" t="s">
        <v>126</v>
      </c>
      <c r="C12" s="29" t="s">
        <v>142</v>
      </c>
      <c r="D12" s="14" t="s">
        <v>151</v>
      </c>
      <c r="E12" s="19" t="s">
        <v>139</v>
      </c>
      <c r="F12" s="16" t="s">
        <v>152</v>
      </c>
      <c r="G12" s="13" t="s">
        <v>152</v>
      </c>
      <c r="H12" s="21" t="s">
        <v>16</v>
      </c>
      <c r="I12" s="10" t="s">
        <v>22</v>
      </c>
    </row>
    <row r="13" spans="1:9" ht="47.4" thickBot="1" x14ac:dyDescent="0.35">
      <c r="A13" s="10" t="s">
        <v>93</v>
      </c>
      <c r="B13" s="15" t="s">
        <v>125</v>
      </c>
      <c r="C13" s="29" t="s">
        <v>143</v>
      </c>
      <c r="D13" s="14" t="s">
        <v>151</v>
      </c>
      <c r="E13" s="19" t="s">
        <v>138</v>
      </c>
      <c r="F13" s="16" t="s">
        <v>152</v>
      </c>
      <c r="G13" s="13" t="s">
        <v>152</v>
      </c>
      <c r="H13" s="21" t="s">
        <v>16</v>
      </c>
      <c r="I13" s="10" t="s">
        <v>22</v>
      </c>
    </row>
    <row r="14" spans="1:9" ht="47.4" thickBot="1" x14ac:dyDescent="0.35">
      <c r="A14" s="10" t="s">
        <v>94</v>
      </c>
      <c r="B14" s="15" t="s">
        <v>124</v>
      </c>
      <c r="C14" s="29" t="s">
        <v>144</v>
      </c>
      <c r="D14" s="14" t="s">
        <v>151</v>
      </c>
      <c r="E14" s="19" t="s">
        <v>137</v>
      </c>
      <c r="F14" s="16" t="s">
        <v>152</v>
      </c>
      <c r="G14" s="13" t="s">
        <v>152</v>
      </c>
      <c r="H14" s="21" t="s">
        <v>16</v>
      </c>
      <c r="I14" s="10" t="s">
        <v>22</v>
      </c>
    </row>
    <row r="15" spans="1:9" ht="47.4" thickBot="1" x14ac:dyDescent="0.35">
      <c r="A15" s="10" t="s">
        <v>95</v>
      </c>
      <c r="B15" s="15" t="s">
        <v>123</v>
      </c>
      <c r="C15" s="29" t="s">
        <v>145</v>
      </c>
      <c r="D15" s="14" t="s">
        <v>151</v>
      </c>
      <c r="E15" s="19" t="s">
        <v>134</v>
      </c>
      <c r="F15" s="16" t="s">
        <v>152</v>
      </c>
      <c r="G15" s="13" t="s">
        <v>152</v>
      </c>
      <c r="H15" s="21" t="s">
        <v>16</v>
      </c>
      <c r="I15" s="10" t="s">
        <v>22</v>
      </c>
    </row>
    <row r="16" spans="1:9" ht="47.4" thickBot="1" x14ac:dyDescent="0.35">
      <c r="A16" s="10" t="s">
        <v>96</v>
      </c>
      <c r="B16" s="15" t="s">
        <v>122</v>
      </c>
      <c r="C16" s="29" t="s">
        <v>146</v>
      </c>
      <c r="D16" s="14" t="s">
        <v>151</v>
      </c>
      <c r="E16" s="19" t="s">
        <v>133</v>
      </c>
      <c r="F16" s="16" t="s">
        <v>152</v>
      </c>
      <c r="G16" s="13" t="s">
        <v>152</v>
      </c>
      <c r="H16" s="21" t="s">
        <v>16</v>
      </c>
      <c r="I16" s="10" t="s">
        <v>22</v>
      </c>
    </row>
    <row r="17" spans="1:9" ht="47.4" thickBot="1" x14ac:dyDescent="0.35">
      <c r="A17" s="10" t="s">
        <v>97</v>
      </c>
      <c r="B17" s="15" t="s">
        <v>121</v>
      </c>
      <c r="C17" s="29" t="s">
        <v>147</v>
      </c>
      <c r="D17" s="14" t="s">
        <v>151</v>
      </c>
      <c r="E17" s="19" t="s">
        <v>132</v>
      </c>
      <c r="F17" s="16" t="s">
        <v>152</v>
      </c>
      <c r="G17" s="13" t="s">
        <v>152</v>
      </c>
      <c r="H17" s="21" t="s">
        <v>16</v>
      </c>
      <c r="I17" s="10" t="s">
        <v>22</v>
      </c>
    </row>
    <row r="18" spans="1:9" ht="49.8" customHeight="1" thickBot="1" x14ac:dyDescent="0.35">
      <c r="A18" s="10" t="s">
        <v>98</v>
      </c>
      <c r="B18" s="15" t="s">
        <v>120</v>
      </c>
      <c r="C18" s="29" t="s">
        <v>148</v>
      </c>
      <c r="D18" s="14" t="s">
        <v>151</v>
      </c>
      <c r="E18" s="19" t="s">
        <v>131</v>
      </c>
      <c r="F18" s="16" t="s">
        <v>152</v>
      </c>
      <c r="G18" s="13" t="s">
        <v>152</v>
      </c>
      <c r="H18" s="21" t="s">
        <v>16</v>
      </c>
      <c r="I18" s="10" t="s">
        <v>22</v>
      </c>
    </row>
    <row r="19" spans="1:9" ht="49.8" customHeight="1" thickBot="1" x14ac:dyDescent="0.35">
      <c r="A19" s="10" t="s">
        <v>99</v>
      </c>
      <c r="B19" s="15" t="s">
        <v>119</v>
      </c>
      <c r="C19" s="29" t="s">
        <v>149</v>
      </c>
      <c r="D19" s="14" t="s">
        <v>151</v>
      </c>
      <c r="E19" s="19" t="s">
        <v>135</v>
      </c>
      <c r="F19" s="16" t="s">
        <v>152</v>
      </c>
      <c r="G19" s="13" t="s">
        <v>152</v>
      </c>
      <c r="H19" s="21" t="s">
        <v>16</v>
      </c>
      <c r="I19" s="10" t="s">
        <v>22</v>
      </c>
    </row>
    <row r="20" spans="1:9" ht="52.8" customHeight="1" thickBot="1" x14ac:dyDescent="0.35">
      <c r="A20" s="10" t="s">
        <v>100</v>
      </c>
      <c r="B20" s="15" t="s">
        <v>118</v>
      </c>
      <c r="C20" s="29" t="s">
        <v>150</v>
      </c>
      <c r="D20" s="14" t="s">
        <v>151</v>
      </c>
      <c r="E20" s="19" t="s">
        <v>136</v>
      </c>
      <c r="F20" s="16" t="s">
        <v>152</v>
      </c>
      <c r="G20" s="13" t="s">
        <v>152</v>
      </c>
      <c r="H20" s="21" t="s">
        <v>16</v>
      </c>
      <c r="I20" s="10" t="s">
        <v>22</v>
      </c>
    </row>
    <row r="21" spans="1:9" ht="72" customHeight="1" thickBot="1" x14ac:dyDescent="0.35">
      <c r="A21" s="31" t="s">
        <v>101</v>
      </c>
      <c r="B21" s="15" t="s">
        <v>160</v>
      </c>
      <c r="C21" s="29" t="s">
        <v>159</v>
      </c>
      <c r="D21" s="14" t="s">
        <v>187</v>
      </c>
      <c r="E21" s="19" t="s">
        <v>161</v>
      </c>
      <c r="F21" s="11" t="s">
        <v>207</v>
      </c>
      <c r="G21" s="11" t="s">
        <v>207</v>
      </c>
      <c r="H21" s="10" t="s">
        <v>17</v>
      </c>
      <c r="I21" s="10" t="s">
        <v>22</v>
      </c>
    </row>
    <row r="22" spans="1:9" ht="70.8" customHeight="1" thickBot="1" x14ac:dyDescent="0.35">
      <c r="A22" s="10" t="s">
        <v>102</v>
      </c>
      <c r="B22" s="15" t="s">
        <v>165</v>
      </c>
      <c r="C22" s="29" t="s">
        <v>158</v>
      </c>
      <c r="D22" s="14" t="s">
        <v>187</v>
      </c>
      <c r="E22" s="19" t="s">
        <v>162</v>
      </c>
      <c r="F22" s="11" t="s">
        <v>202</v>
      </c>
      <c r="G22" s="11" t="s">
        <v>202</v>
      </c>
      <c r="H22" s="10" t="s">
        <v>17</v>
      </c>
      <c r="I22" s="10" t="s">
        <v>22</v>
      </c>
    </row>
    <row r="23" spans="1:9" ht="70.8" customHeight="1" thickBot="1" x14ac:dyDescent="0.35">
      <c r="A23" s="10" t="s">
        <v>103</v>
      </c>
      <c r="B23" s="15" t="s">
        <v>164</v>
      </c>
      <c r="C23" s="29" t="s">
        <v>84</v>
      </c>
      <c r="D23" s="14" t="s">
        <v>190</v>
      </c>
      <c r="E23" s="19" t="s">
        <v>163</v>
      </c>
      <c r="F23" s="11" t="s">
        <v>202</v>
      </c>
      <c r="G23" s="11" t="s">
        <v>202</v>
      </c>
      <c r="H23" s="10" t="s">
        <v>17</v>
      </c>
      <c r="I23" s="10" t="s">
        <v>22</v>
      </c>
    </row>
    <row r="24" spans="1:9" ht="79.2" customHeight="1" thickBot="1" x14ac:dyDescent="0.35">
      <c r="A24" s="10" t="s">
        <v>104</v>
      </c>
      <c r="B24" s="15" t="s">
        <v>166</v>
      </c>
      <c r="C24" s="29" t="s">
        <v>84</v>
      </c>
      <c r="D24" s="14" t="s">
        <v>189</v>
      </c>
      <c r="E24" s="19" t="s">
        <v>167</v>
      </c>
      <c r="F24" s="11" t="s">
        <v>206</v>
      </c>
      <c r="G24" s="11" t="s">
        <v>206</v>
      </c>
      <c r="H24" s="10" t="s">
        <v>17</v>
      </c>
      <c r="I24" s="10" t="s">
        <v>22</v>
      </c>
    </row>
    <row r="25" spans="1:9" ht="72" customHeight="1" thickBot="1" x14ac:dyDescent="0.35">
      <c r="A25" s="10" t="s">
        <v>105</v>
      </c>
      <c r="B25" s="15" t="s">
        <v>168</v>
      </c>
      <c r="C25" s="29" t="s">
        <v>84</v>
      </c>
      <c r="D25" s="14" t="s">
        <v>191</v>
      </c>
      <c r="E25" s="19" t="s">
        <v>169</v>
      </c>
      <c r="F25" s="11" t="s">
        <v>203</v>
      </c>
      <c r="G25" s="11" t="s">
        <v>203</v>
      </c>
      <c r="H25" s="10" t="s">
        <v>17</v>
      </c>
      <c r="I25" s="10" t="s">
        <v>22</v>
      </c>
    </row>
    <row r="26" spans="1:9" ht="72" customHeight="1" thickBot="1" x14ac:dyDescent="0.35">
      <c r="A26" s="10" t="s">
        <v>106</v>
      </c>
      <c r="B26" s="15" t="s">
        <v>170</v>
      </c>
      <c r="C26" s="29" t="s">
        <v>84</v>
      </c>
      <c r="D26" s="14" t="s">
        <v>188</v>
      </c>
      <c r="E26" s="19" t="s">
        <v>171</v>
      </c>
      <c r="F26" s="11" t="s">
        <v>205</v>
      </c>
      <c r="G26" s="11" t="s">
        <v>205</v>
      </c>
      <c r="H26" s="21" t="s">
        <v>17</v>
      </c>
      <c r="I26" s="10" t="s">
        <v>25</v>
      </c>
    </row>
    <row r="27" spans="1:9" ht="63" thickBot="1" x14ac:dyDescent="0.35">
      <c r="A27" s="10" t="s">
        <v>107</v>
      </c>
      <c r="B27" s="15" t="s">
        <v>172</v>
      </c>
      <c r="C27" s="29" t="s">
        <v>84</v>
      </c>
      <c r="D27" s="14" t="s">
        <v>192</v>
      </c>
      <c r="E27" s="19" t="s">
        <v>173</v>
      </c>
      <c r="F27" s="11" t="s">
        <v>204</v>
      </c>
      <c r="G27" s="11" t="s">
        <v>204</v>
      </c>
      <c r="H27" s="21" t="s">
        <v>17</v>
      </c>
      <c r="I27" s="10" t="s">
        <v>22</v>
      </c>
    </row>
    <row r="28" spans="1:9" ht="31.8" thickBot="1" x14ac:dyDescent="0.35">
      <c r="A28" s="10" t="s">
        <v>108</v>
      </c>
      <c r="B28" s="15" t="s">
        <v>174</v>
      </c>
      <c r="C28" s="29" t="s">
        <v>84</v>
      </c>
      <c r="D28" s="14" t="s">
        <v>200</v>
      </c>
      <c r="E28" s="19" t="s">
        <v>175</v>
      </c>
      <c r="F28" s="11" t="s">
        <v>203</v>
      </c>
      <c r="G28" s="11" t="s">
        <v>203</v>
      </c>
      <c r="H28" s="21" t="s">
        <v>17</v>
      </c>
      <c r="I28" s="10" t="s">
        <v>22</v>
      </c>
    </row>
    <row r="29" spans="1:9" ht="47.4" thickBot="1" x14ac:dyDescent="0.35">
      <c r="A29" s="10" t="s">
        <v>109</v>
      </c>
      <c r="B29" s="15" t="s">
        <v>176</v>
      </c>
      <c r="C29" s="29" t="s">
        <v>84</v>
      </c>
      <c r="D29" s="14" t="s">
        <v>201</v>
      </c>
      <c r="E29" s="19" t="s">
        <v>177</v>
      </c>
      <c r="F29" s="11" t="s">
        <v>202</v>
      </c>
      <c r="G29" s="11" t="s">
        <v>202</v>
      </c>
      <c r="H29" s="21" t="s">
        <v>17</v>
      </c>
      <c r="I29" s="10" t="s">
        <v>22</v>
      </c>
    </row>
    <row r="30" spans="1:9" ht="63" thickBot="1" x14ac:dyDescent="0.35">
      <c r="A30" s="10" t="s">
        <v>110</v>
      </c>
      <c r="B30" s="15" t="s">
        <v>178</v>
      </c>
      <c r="C30" s="29" t="s">
        <v>84</v>
      </c>
      <c r="D30" s="14" t="s">
        <v>199</v>
      </c>
      <c r="E30" s="19" t="s">
        <v>179</v>
      </c>
      <c r="F30" s="11" t="s">
        <v>202</v>
      </c>
      <c r="G30" s="11" t="s">
        <v>202</v>
      </c>
      <c r="H30" s="21" t="s">
        <v>17</v>
      </c>
      <c r="I30" s="10" t="s">
        <v>25</v>
      </c>
    </row>
    <row r="31" spans="1:9" ht="66.599999999999994" customHeight="1" thickBot="1" x14ac:dyDescent="0.35">
      <c r="A31" s="10" t="s">
        <v>111</v>
      </c>
      <c r="B31" s="15" t="s">
        <v>180</v>
      </c>
      <c r="C31" s="29" t="s">
        <v>84</v>
      </c>
      <c r="D31" s="14" t="s">
        <v>198</v>
      </c>
      <c r="E31" s="19" t="s">
        <v>181</v>
      </c>
      <c r="F31" s="11" t="s">
        <v>202</v>
      </c>
      <c r="G31" s="11" t="s">
        <v>202</v>
      </c>
      <c r="H31" s="21" t="s">
        <v>17</v>
      </c>
      <c r="I31" s="10" t="s">
        <v>25</v>
      </c>
    </row>
    <row r="32" spans="1:9" ht="63.6" customHeight="1" thickBot="1" x14ac:dyDescent="0.35">
      <c r="A32" s="10" t="s">
        <v>112</v>
      </c>
      <c r="B32" s="15" t="s">
        <v>182</v>
      </c>
      <c r="C32" s="29" t="s">
        <v>84</v>
      </c>
      <c r="D32" s="14" t="s">
        <v>197</v>
      </c>
      <c r="E32" s="19" t="s">
        <v>183</v>
      </c>
      <c r="F32" s="11" t="s">
        <v>202</v>
      </c>
      <c r="G32" s="11" t="s">
        <v>202</v>
      </c>
      <c r="H32" s="21" t="s">
        <v>17</v>
      </c>
      <c r="I32" s="10" t="s">
        <v>25</v>
      </c>
    </row>
    <row r="33" spans="1:9" ht="60.6" customHeight="1" thickBot="1" x14ac:dyDescent="0.35">
      <c r="A33" s="10" t="s">
        <v>113</v>
      </c>
      <c r="B33" s="15" t="s">
        <v>184</v>
      </c>
      <c r="C33" s="29" t="s">
        <v>84</v>
      </c>
      <c r="D33" s="14" t="s">
        <v>193</v>
      </c>
      <c r="E33" s="19" t="s">
        <v>185</v>
      </c>
      <c r="F33" s="11" t="s">
        <v>202</v>
      </c>
      <c r="G33" s="11" t="s">
        <v>202</v>
      </c>
      <c r="H33" s="21" t="s">
        <v>17</v>
      </c>
      <c r="I33" s="10" t="s">
        <v>25</v>
      </c>
    </row>
    <row r="34" spans="1:9" ht="47.4" thickBot="1" x14ac:dyDescent="0.35">
      <c r="A34" s="10" t="s">
        <v>114</v>
      </c>
      <c r="B34" s="15" t="s">
        <v>186</v>
      </c>
      <c r="C34" s="29" t="s">
        <v>84</v>
      </c>
      <c r="D34" s="14" t="s">
        <v>196</v>
      </c>
      <c r="E34" s="19" t="s">
        <v>23</v>
      </c>
      <c r="F34" s="11" t="s">
        <v>202</v>
      </c>
      <c r="G34" s="11" t="s">
        <v>202</v>
      </c>
      <c r="H34" s="21" t="s">
        <v>17</v>
      </c>
      <c r="I34" s="10" t="s">
        <v>25</v>
      </c>
    </row>
    <row r="35" spans="1:9" ht="47.4" thickBot="1" x14ac:dyDescent="0.35">
      <c r="A35" s="10" t="s">
        <v>115</v>
      </c>
      <c r="B35" s="15" t="s">
        <v>156</v>
      </c>
      <c r="C35" s="29" t="s">
        <v>84</v>
      </c>
      <c r="D35" s="14" t="s">
        <v>195</v>
      </c>
      <c r="E35" s="19" t="s">
        <v>24</v>
      </c>
      <c r="F35" s="11" t="s">
        <v>202</v>
      </c>
      <c r="G35" s="11" t="s">
        <v>202</v>
      </c>
      <c r="H35" s="21" t="s">
        <v>17</v>
      </c>
      <c r="I35" s="10" t="s">
        <v>25</v>
      </c>
    </row>
    <row r="36" spans="1:9" ht="47.4" thickBot="1" x14ac:dyDescent="0.35">
      <c r="A36" s="10" t="s">
        <v>116</v>
      </c>
      <c r="B36" s="15" t="s">
        <v>155</v>
      </c>
      <c r="C36" s="29" t="s">
        <v>84</v>
      </c>
      <c r="D36" s="14" t="s">
        <v>194</v>
      </c>
      <c r="E36" s="20" t="s">
        <v>157</v>
      </c>
      <c r="F36" s="11" t="s">
        <v>202</v>
      </c>
      <c r="G36" s="11" t="s">
        <v>202</v>
      </c>
      <c r="H36" s="21" t="s">
        <v>17</v>
      </c>
      <c r="I36" s="10" t="s">
        <v>25</v>
      </c>
    </row>
    <row r="37" spans="1:9" x14ac:dyDescent="0.3">
      <c r="A37" s="12"/>
      <c r="B37" s="12"/>
      <c r="C37" s="12"/>
      <c r="D37" s="12"/>
      <c r="E37" s="12"/>
      <c r="F37" s="12"/>
      <c r="G37" s="22" t="s">
        <v>16</v>
      </c>
      <c r="H37" s="23">
        <f>COUNTIF(H9:H36,"Pass")</f>
        <v>12</v>
      </c>
      <c r="I37" s="12"/>
    </row>
    <row r="38" spans="1:9" x14ac:dyDescent="0.3">
      <c r="A38" s="12"/>
      <c r="B38" s="12"/>
      <c r="C38" s="12"/>
      <c r="D38" s="12"/>
      <c r="E38" s="12"/>
      <c r="F38" s="12"/>
      <c r="G38" s="22" t="s">
        <v>17</v>
      </c>
      <c r="H38" s="23">
        <f>COUNTIF(H9:H36,"Fail")</f>
        <v>16</v>
      </c>
      <c r="I38" s="12"/>
    </row>
    <row r="39" spans="1:9" x14ac:dyDescent="0.3">
      <c r="A39" s="12"/>
      <c r="B39" s="12"/>
      <c r="C39" s="12"/>
      <c r="D39" s="12"/>
      <c r="E39" s="12"/>
      <c r="F39" s="12"/>
      <c r="G39" s="24" t="s">
        <v>18</v>
      </c>
      <c r="H39" s="25">
        <f>COUNTIF(H9:H36,"Pending")</f>
        <v>0</v>
      </c>
      <c r="I39" s="12"/>
    </row>
    <row r="40" spans="1:9" x14ac:dyDescent="0.3">
      <c r="A40" s="12"/>
      <c r="B40" s="12"/>
      <c r="C40" s="12"/>
      <c r="D40" s="12"/>
      <c r="E40" s="12"/>
      <c r="F40" s="12"/>
      <c r="G40" s="23" t="s">
        <v>19</v>
      </c>
      <c r="H40" s="23">
        <f>SUM(H37:H39)</f>
        <v>28</v>
      </c>
      <c r="I40" s="12"/>
    </row>
    <row r="41" spans="1:9" ht="14.2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</row>
    <row r="42" spans="1:9" ht="14.2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</row>
    <row r="43" spans="1:9" ht="14.2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</row>
    <row r="44" spans="1:9" ht="14.2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</row>
    <row r="45" spans="1:9" ht="14.2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</row>
    <row r="46" spans="1:9" ht="14.2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</row>
    <row r="47" spans="1:9" ht="14.25" customHeight="1" x14ac:dyDescent="0.3"/>
    <row r="48" spans="1:9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</sheetData>
  <mergeCells count="1">
    <mergeCell ref="C1:E1"/>
  </mergeCells>
  <conditionalFormatting sqref="H9:H36">
    <cfRule type="cellIs" dxfId="10" priority="1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9818-F952-4ECB-9D69-2F37B006D5B5}">
  <dimension ref="A1:I979"/>
  <sheetViews>
    <sheetView zoomScale="70" zoomScaleNormal="70" workbookViewId="0">
      <selection activeCell="B9" sqref="B9"/>
    </sheetView>
  </sheetViews>
  <sheetFormatPr defaultColWidth="14.44140625" defaultRowHeight="15.6" x14ac:dyDescent="0.3"/>
  <cols>
    <col min="1" max="1" width="17.33203125" style="4" customWidth="1"/>
    <col min="2" max="2" width="29.44140625" style="4" customWidth="1"/>
    <col min="3" max="3" width="20.21875" style="4" bestFit="1" customWidth="1"/>
    <col min="4" max="4" width="31" style="4" customWidth="1"/>
    <col min="5" max="5" width="35.21875" style="4" bestFit="1" customWidth="1"/>
    <col min="6" max="6" width="34.88671875" style="4" bestFit="1" customWidth="1"/>
    <col min="7" max="7" width="27.5546875" style="4" bestFit="1" customWidth="1"/>
    <col min="8" max="8" width="8.44140625" style="4" customWidth="1"/>
    <col min="9" max="9" width="19.88671875" style="4" customWidth="1"/>
    <col min="10" max="26" width="8.6640625" style="4" customWidth="1"/>
    <col min="27" max="16384" width="14.44140625" style="4"/>
  </cols>
  <sheetData>
    <row r="1" spans="1:9" ht="16.2" thickBot="1" x14ac:dyDescent="0.35">
      <c r="A1" s="1" t="s">
        <v>0</v>
      </c>
      <c r="B1" s="2" t="s">
        <v>20</v>
      </c>
      <c r="C1" s="61" t="s">
        <v>1</v>
      </c>
      <c r="D1" s="62"/>
      <c r="E1" s="63"/>
      <c r="F1" s="3"/>
      <c r="G1" s="3"/>
      <c r="H1" s="3"/>
      <c r="I1" s="3"/>
    </row>
    <row r="2" spans="1:9" ht="16.2" thickBot="1" x14ac:dyDescent="0.35">
      <c r="A2" s="1" t="s">
        <v>2</v>
      </c>
      <c r="B2" s="2" t="s">
        <v>335</v>
      </c>
      <c r="C2" s="3"/>
      <c r="D2" s="3"/>
      <c r="E2" s="3"/>
      <c r="F2" s="3"/>
      <c r="G2" s="3"/>
      <c r="H2" s="3"/>
      <c r="I2" s="3"/>
    </row>
    <row r="3" spans="1:9" ht="16.2" thickBot="1" x14ac:dyDescent="0.35">
      <c r="A3" s="1" t="s">
        <v>3</v>
      </c>
      <c r="B3" s="2" t="s">
        <v>29</v>
      </c>
      <c r="C3" s="3"/>
      <c r="D3" s="3"/>
      <c r="E3" s="3"/>
      <c r="F3" s="3"/>
      <c r="G3" s="3"/>
      <c r="H3" s="3"/>
      <c r="I3" s="3"/>
    </row>
    <row r="4" spans="1:9" ht="16.2" thickBot="1" x14ac:dyDescent="0.35">
      <c r="A4" s="1" t="s">
        <v>4</v>
      </c>
      <c r="B4" s="5">
        <v>45976</v>
      </c>
      <c r="C4" s="6"/>
      <c r="D4" s="3"/>
      <c r="E4" s="3"/>
      <c r="F4" s="3"/>
      <c r="G4" s="3"/>
      <c r="H4" s="3"/>
      <c r="I4" s="3"/>
    </row>
    <row r="5" spans="1:9" ht="16.2" thickBot="1" x14ac:dyDescent="0.35">
      <c r="A5" s="1" t="s">
        <v>5</v>
      </c>
      <c r="B5" s="2" t="s">
        <v>30</v>
      </c>
      <c r="C5" s="3"/>
      <c r="D5" s="3"/>
      <c r="E5" s="3"/>
      <c r="F5" s="3"/>
      <c r="G5" s="3"/>
      <c r="H5" s="3"/>
      <c r="I5" s="3"/>
    </row>
    <row r="6" spans="1:9" ht="16.2" thickBot="1" x14ac:dyDescent="0.35">
      <c r="A6" s="1" t="s">
        <v>6</v>
      </c>
      <c r="B6" s="5">
        <v>45981</v>
      </c>
      <c r="C6" s="7"/>
      <c r="D6" s="3"/>
      <c r="E6" s="3"/>
      <c r="F6" s="3"/>
      <c r="G6" s="3"/>
      <c r="H6" s="3"/>
      <c r="I6" s="3"/>
    </row>
    <row r="7" spans="1:9" ht="14.25" customHeight="1" thickBot="1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ht="16.2" thickBot="1" x14ac:dyDescent="0.35">
      <c r="A8" s="9" t="s">
        <v>7</v>
      </c>
      <c r="B8" s="9" t="s">
        <v>8</v>
      </c>
      <c r="C8" s="9" t="s">
        <v>9</v>
      </c>
      <c r="D8" s="28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76.8" customHeight="1" thickBot="1" x14ac:dyDescent="0.35">
      <c r="A9" s="10" t="s">
        <v>208</v>
      </c>
      <c r="B9" s="15" t="s">
        <v>210</v>
      </c>
      <c r="C9" s="29" t="s">
        <v>211</v>
      </c>
      <c r="D9" s="14" t="s">
        <v>239</v>
      </c>
      <c r="E9" s="27" t="s">
        <v>233</v>
      </c>
      <c r="F9" s="16" t="s">
        <v>212</v>
      </c>
      <c r="G9" s="16" t="s">
        <v>212</v>
      </c>
      <c r="H9" s="21" t="s">
        <v>16</v>
      </c>
      <c r="I9" s="10" t="s">
        <v>22</v>
      </c>
    </row>
    <row r="10" spans="1:9" ht="63" thickBot="1" x14ac:dyDescent="0.35">
      <c r="A10" s="10" t="s">
        <v>209</v>
      </c>
      <c r="B10" s="15" t="s">
        <v>213</v>
      </c>
      <c r="C10" s="29" t="s">
        <v>222</v>
      </c>
      <c r="D10" s="14" t="s">
        <v>247</v>
      </c>
      <c r="E10" s="27" t="s">
        <v>234</v>
      </c>
      <c r="F10" s="16" t="s">
        <v>251</v>
      </c>
      <c r="G10" s="16" t="s">
        <v>251</v>
      </c>
      <c r="H10" s="21" t="s">
        <v>17</v>
      </c>
      <c r="I10" s="10" t="s">
        <v>22</v>
      </c>
    </row>
    <row r="11" spans="1:9" ht="63" thickBot="1" x14ac:dyDescent="0.35">
      <c r="A11" s="10" t="s">
        <v>223</v>
      </c>
      <c r="B11" s="15" t="s">
        <v>214</v>
      </c>
      <c r="C11" s="29" t="s">
        <v>84</v>
      </c>
      <c r="D11" s="14" t="s">
        <v>246</v>
      </c>
      <c r="E11" s="27" t="s">
        <v>235</v>
      </c>
      <c r="F11" s="16" t="s">
        <v>252</v>
      </c>
      <c r="G11" s="16" t="s">
        <v>252</v>
      </c>
      <c r="H11" s="21" t="s">
        <v>17</v>
      </c>
      <c r="I11" s="10" t="s">
        <v>22</v>
      </c>
    </row>
    <row r="12" spans="1:9" ht="63" thickBot="1" x14ac:dyDescent="0.35">
      <c r="A12" s="10" t="s">
        <v>224</v>
      </c>
      <c r="B12" s="15" t="s">
        <v>215</v>
      </c>
      <c r="C12" s="29" t="s">
        <v>84</v>
      </c>
      <c r="D12" s="14" t="s">
        <v>245</v>
      </c>
      <c r="E12" s="27" t="s">
        <v>236</v>
      </c>
      <c r="F12" s="16" t="s">
        <v>252</v>
      </c>
      <c r="G12" s="16" t="s">
        <v>252</v>
      </c>
      <c r="H12" s="21" t="s">
        <v>17</v>
      </c>
      <c r="I12" s="10" t="s">
        <v>22</v>
      </c>
    </row>
    <row r="13" spans="1:9" ht="78.599999999999994" thickBot="1" x14ac:dyDescent="0.35">
      <c r="A13" s="10" t="s">
        <v>225</v>
      </c>
      <c r="B13" s="15" t="s">
        <v>216</v>
      </c>
      <c r="C13" s="29" t="s">
        <v>84</v>
      </c>
      <c r="D13" s="14" t="s">
        <v>244</v>
      </c>
      <c r="E13" s="27" t="s">
        <v>237</v>
      </c>
      <c r="F13" s="16" t="s">
        <v>252</v>
      </c>
      <c r="G13" s="16" t="s">
        <v>252</v>
      </c>
      <c r="H13" s="21" t="s">
        <v>17</v>
      </c>
      <c r="I13" s="10" t="s">
        <v>22</v>
      </c>
    </row>
    <row r="14" spans="1:9" ht="78.599999999999994" thickBot="1" x14ac:dyDescent="0.35">
      <c r="A14" s="10" t="s">
        <v>226</v>
      </c>
      <c r="B14" s="15" t="s">
        <v>217</v>
      </c>
      <c r="C14" s="29" t="s">
        <v>84</v>
      </c>
      <c r="D14" s="14" t="s">
        <v>243</v>
      </c>
      <c r="E14" s="27" t="s">
        <v>238</v>
      </c>
      <c r="F14" s="16" t="s">
        <v>252</v>
      </c>
      <c r="G14" s="16" t="s">
        <v>252</v>
      </c>
      <c r="H14" s="21" t="s">
        <v>17</v>
      </c>
      <c r="I14" s="10" t="s">
        <v>22</v>
      </c>
    </row>
    <row r="15" spans="1:9" ht="14.25" customHeight="1" x14ac:dyDescent="0.3">
      <c r="A15" s="12"/>
      <c r="B15" s="12"/>
      <c r="C15" s="12"/>
      <c r="D15" s="12"/>
      <c r="E15" s="12"/>
      <c r="F15" s="12"/>
      <c r="G15" s="22" t="s">
        <v>16</v>
      </c>
      <c r="H15" s="23">
        <f>COUNTIF(H9:H14,"Pass")</f>
        <v>1</v>
      </c>
      <c r="I15" s="12"/>
    </row>
    <row r="16" spans="1:9" ht="14.25" customHeight="1" x14ac:dyDescent="0.3">
      <c r="A16" s="12"/>
      <c r="B16" s="12"/>
      <c r="C16" s="12"/>
      <c r="D16" s="12"/>
      <c r="E16" s="12"/>
      <c r="F16" s="12"/>
      <c r="G16" s="22" t="s">
        <v>17</v>
      </c>
      <c r="H16" s="23">
        <f>COUNTIF(H9:H14,"Fail")</f>
        <v>5</v>
      </c>
      <c r="I16" s="12"/>
    </row>
    <row r="17" spans="1:9" ht="14.25" customHeight="1" x14ac:dyDescent="0.3">
      <c r="A17" s="12"/>
      <c r="B17" s="12"/>
      <c r="C17" s="12"/>
      <c r="D17" s="12"/>
      <c r="E17" s="12"/>
      <c r="F17" s="12"/>
      <c r="G17" s="24" t="s">
        <v>18</v>
      </c>
      <c r="H17" s="25">
        <f>COUNTIF(H10:H14,"Pending")</f>
        <v>0</v>
      </c>
      <c r="I17" s="12"/>
    </row>
    <row r="18" spans="1:9" ht="14.25" customHeight="1" x14ac:dyDescent="0.3">
      <c r="G18" s="23" t="s">
        <v>19</v>
      </c>
      <c r="H18" s="23">
        <f>SUM(H15:H17)</f>
        <v>6</v>
      </c>
    </row>
    <row r="19" spans="1:9" ht="14.25" customHeight="1" x14ac:dyDescent="0.3"/>
    <row r="20" spans="1:9" ht="14.25" customHeight="1" x14ac:dyDescent="0.3"/>
    <row r="21" spans="1:9" ht="14.25" customHeight="1" x14ac:dyDescent="0.3"/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</sheetData>
  <mergeCells count="1">
    <mergeCell ref="C1:E1"/>
  </mergeCells>
  <conditionalFormatting sqref="H9:H14">
    <cfRule type="cellIs" dxfId="9" priority="1" operator="equal">
      <formula>"Fail"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97AB-A311-47F3-9170-E0F20CE849E3}">
  <dimension ref="A1:I13"/>
  <sheetViews>
    <sheetView zoomScale="70" zoomScaleNormal="70" workbookViewId="0">
      <selection activeCell="B2" sqref="B2"/>
    </sheetView>
  </sheetViews>
  <sheetFormatPr defaultRowHeight="14.4" x14ac:dyDescent="0.3"/>
  <cols>
    <col min="1" max="1" width="16.44140625" customWidth="1"/>
    <col min="2" max="2" width="34.109375" customWidth="1"/>
    <col min="3" max="3" width="27.5546875" customWidth="1"/>
    <col min="4" max="4" width="32.109375" customWidth="1"/>
    <col min="5" max="5" width="16.21875" customWidth="1"/>
    <col min="6" max="6" width="24.77734375" customWidth="1"/>
    <col min="7" max="7" width="28.88671875" customWidth="1"/>
    <col min="8" max="8" width="11.109375" customWidth="1"/>
    <col min="9" max="9" width="13.77734375" customWidth="1"/>
  </cols>
  <sheetData>
    <row r="1" spans="1:9" ht="16.2" thickBot="1" x14ac:dyDescent="0.35">
      <c r="A1" s="1" t="s">
        <v>0</v>
      </c>
      <c r="B1" s="2" t="s">
        <v>20</v>
      </c>
      <c r="C1" s="61" t="s">
        <v>1</v>
      </c>
      <c r="D1" s="62"/>
      <c r="E1" s="63"/>
      <c r="F1" s="3"/>
      <c r="G1" s="3"/>
      <c r="H1" s="3"/>
      <c r="I1" s="3"/>
    </row>
    <row r="2" spans="1:9" ht="16.2" thickBot="1" x14ac:dyDescent="0.35">
      <c r="A2" s="1" t="s">
        <v>2</v>
      </c>
      <c r="B2" s="2" t="s">
        <v>220</v>
      </c>
      <c r="C2" s="3"/>
      <c r="D2" s="3"/>
      <c r="E2" s="3"/>
      <c r="F2" s="3"/>
      <c r="G2" s="3"/>
      <c r="H2" s="3"/>
      <c r="I2" s="3"/>
    </row>
    <row r="3" spans="1:9" ht="16.2" thickBot="1" x14ac:dyDescent="0.35">
      <c r="A3" s="1" t="s">
        <v>3</v>
      </c>
      <c r="B3" s="2" t="s">
        <v>29</v>
      </c>
      <c r="C3" s="3"/>
      <c r="D3" s="3"/>
      <c r="E3" s="3"/>
      <c r="F3" s="3"/>
      <c r="G3" s="3"/>
      <c r="H3" s="3"/>
      <c r="I3" s="3"/>
    </row>
    <row r="4" spans="1:9" ht="25.2" customHeight="1" thickBot="1" x14ac:dyDescent="0.35">
      <c r="A4" s="1" t="s">
        <v>4</v>
      </c>
      <c r="B4" s="5">
        <v>45976</v>
      </c>
      <c r="C4" s="6"/>
      <c r="D4" s="3"/>
      <c r="E4" s="3"/>
      <c r="F4" s="3"/>
      <c r="G4" s="3"/>
      <c r="H4" s="3"/>
      <c r="I4" s="3"/>
    </row>
    <row r="5" spans="1:9" ht="16.2" thickBot="1" x14ac:dyDescent="0.35">
      <c r="A5" s="1" t="s">
        <v>5</v>
      </c>
      <c r="B5" s="2" t="s">
        <v>30</v>
      </c>
      <c r="C5" s="3"/>
      <c r="D5" s="3"/>
      <c r="E5" s="3"/>
      <c r="F5" s="3"/>
      <c r="G5" s="3"/>
      <c r="H5" s="3"/>
      <c r="I5" s="3"/>
    </row>
    <row r="6" spans="1:9" ht="21.6" customHeight="1" thickBot="1" x14ac:dyDescent="0.35">
      <c r="A6" s="1" t="s">
        <v>6</v>
      </c>
      <c r="B6" s="5">
        <v>45981</v>
      </c>
      <c r="C6" s="7"/>
      <c r="D6" s="3"/>
      <c r="E6" s="3"/>
      <c r="F6" s="3"/>
      <c r="G6" s="3"/>
      <c r="H6" s="3"/>
      <c r="I6" s="3"/>
    </row>
    <row r="7" spans="1:9" ht="16.2" thickBot="1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ht="31.8" thickBot="1" x14ac:dyDescent="0.35">
      <c r="A8" s="9" t="s">
        <v>7</v>
      </c>
      <c r="B8" s="9" t="s">
        <v>8</v>
      </c>
      <c r="C8" s="9" t="s">
        <v>9</v>
      </c>
      <c r="D8" s="28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31.8" thickBot="1" x14ac:dyDescent="0.35">
      <c r="A9" s="10" t="s">
        <v>229</v>
      </c>
      <c r="B9" s="15" t="s">
        <v>366</v>
      </c>
      <c r="C9" s="26" t="s">
        <v>333</v>
      </c>
      <c r="D9" s="14" t="s">
        <v>240</v>
      </c>
      <c r="E9" s="27" t="s">
        <v>84</v>
      </c>
      <c r="F9" s="16" t="s">
        <v>248</v>
      </c>
      <c r="G9" s="16" t="s">
        <v>248</v>
      </c>
      <c r="H9" s="21" t="s">
        <v>16</v>
      </c>
      <c r="I9" s="10" t="s">
        <v>22</v>
      </c>
    </row>
    <row r="10" spans="1:9" ht="15.6" x14ac:dyDescent="0.3">
      <c r="A10" s="12"/>
      <c r="B10" s="12"/>
      <c r="C10" s="12"/>
      <c r="D10" s="12"/>
      <c r="E10" s="12"/>
      <c r="F10" s="12"/>
      <c r="G10" s="22" t="s">
        <v>16</v>
      </c>
      <c r="H10" s="23">
        <f>COUNTIF(H9:H9,"Pass")</f>
        <v>1</v>
      </c>
      <c r="I10" s="12"/>
    </row>
    <row r="11" spans="1:9" ht="15.6" x14ac:dyDescent="0.3">
      <c r="A11" s="12"/>
      <c r="B11" s="12"/>
      <c r="C11" s="12"/>
      <c r="D11" s="12"/>
      <c r="E11" s="12"/>
      <c r="F11" s="12"/>
      <c r="G11" s="22" t="s">
        <v>17</v>
      </c>
      <c r="H11" s="23">
        <f>COUNTIF(H9:H9,"Fail")</f>
        <v>0</v>
      </c>
      <c r="I11" s="12"/>
    </row>
    <row r="12" spans="1:9" ht="15.6" x14ac:dyDescent="0.3">
      <c r="A12" s="12"/>
      <c r="B12" s="12"/>
      <c r="C12" s="12"/>
      <c r="D12" s="12"/>
      <c r="E12" s="12"/>
      <c r="F12" s="12"/>
      <c r="G12" s="24" t="s">
        <v>18</v>
      </c>
      <c r="H12" s="25">
        <v>0</v>
      </c>
      <c r="I12" s="12"/>
    </row>
    <row r="13" spans="1:9" ht="15.6" x14ac:dyDescent="0.3">
      <c r="A13" s="4"/>
      <c r="B13" s="4"/>
      <c r="C13" s="4"/>
      <c r="D13" s="4"/>
      <c r="E13" s="4"/>
      <c r="F13" s="4"/>
      <c r="G13" s="23" t="s">
        <v>19</v>
      </c>
      <c r="H13" s="23">
        <f>SUM(H10:H12)</f>
        <v>1</v>
      </c>
      <c r="I13" s="4"/>
    </row>
  </sheetData>
  <mergeCells count="1">
    <mergeCell ref="C1:E1"/>
  </mergeCells>
  <conditionalFormatting sqref="H9">
    <cfRule type="cellIs" dxfId="8" priority="1" operator="equal">
      <formula>"Fail"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C0C3-1E2F-4028-AE12-4158E1CD2BA5}">
  <dimension ref="A1:I14"/>
  <sheetViews>
    <sheetView zoomScale="85" zoomScaleNormal="85" workbookViewId="0">
      <selection activeCell="B9" sqref="B9"/>
    </sheetView>
  </sheetViews>
  <sheetFormatPr defaultRowHeight="14.4" x14ac:dyDescent="0.3"/>
  <cols>
    <col min="1" max="1" width="17" customWidth="1"/>
    <col min="2" max="2" width="21.109375" customWidth="1"/>
    <col min="3" max="3" width="31" customWidth="1"/>
    <col min="4" max="4" width="25.33203125" customWidth="1"/>
    <col min="5" max="5" width="16.77734375" customWidth="1"/>
    <col min="6" max="6" width="20" customWidth="1"/>
    <col min="7" max="7" width="25.6640625" customWidth="1"/>
  </cols>
  <sheetData>
    <row r="1" spans="1:9" ht="16.2" thickBot="1" x14ac:dyDescent="0.35">
      <c r="A1" s="1" t="s">
        <v>0</v>
      </c>
      <c r="B1" s="2" t="s">
        <v>20</v>
      </c>
      <c r="C1" s="61" t="s">
        <v>1</v>
      </c>
      <c r="D1" s="62"/>
      <c r="E1" s="63"/>
      <c r="F1" s="3"/>
      <c r="G1" s="3"/>
      <c r="H1" s="3"/>
      <c r="I1" s="3"/>
    </row>
    <row r="2" spans="1:9" ht="31.8" thickBot="1" x14ac:dyDescent="0.35">
      <c r="A2" s="1" t="s">
        <v>2</v>
      </c>
      <c r="B2" s="2" t="s">
        <v>334</v>
      </c>
      <c r="C2" s="3"/>
      <c r="D2" s="3"/>
      <c r="E2" s="3"/>
      <c r="F2" s="3"/>
      <c r="G2" s="3"/>
      <c r="H2" s="3"/>
      <c r="I2" s="3"/>
    </row>
    <row r="3" spans="1:9" ht="16.2" thickBot="1" x14ac:dyDescent="0.35">
      <c r="A3" s="1" t="s">
        <v>3</v>
      </c>
      <c r="B3" s="2" t="s">
        <v>29</v>
      </c>
      <c r="C3" s="3"/>
      <c r="D3" s="3"/>
      <c r="E3" s="3"/>
      <c r="F3" s="3"/>
      <c r="G3" s="3"/>
      <c r="H3" s="3"/>
      <c r="I3" s="3"/>
    </row>
    <row r="4" spans="1:9" ht="24.6" customHeight="1" thickBot="1" x14ac:dyDescent="0.35">
      <c r="A4" s="1" t="s">
        <v>4</v>
      </c>
      <c r="B4" s="5">
        <v>45976</v>
      </c>
      <c r="C4" s="6"/>
      <c r="D4" s="3"/>
      <c r="E4" s="3"/>
      <c r="F4" s="3"/>
      <c r="G4" s="3"/>
      <c r="H4" s="3"/>
      <c r="I4" s="3"/>
    </row>
    <row r="5" spans="1:9" ht="24.6" customHeight="1" thickBot="1" x14ac:dyDescent="0.35">
      <c r="A5" s="1" t="s">
        <v>5</v>
      </c>
      <c r="B5" s="2" t="s">
        <v>331</v>
      </c>
      <c r="C5" s="3"/>
      <c r="D5" s="3"/>
      <c r="E5" s="3"/>
      <c r="F5" s="3"/>
      <c r="G5" s="3"/>
      <c r="H5" s="3"/>
      <c r="I5" s="3"/>
    </row>
    <row r="6" spans="1:9" ht="23.4" customHeight="1" thickBot="1" x14ac:dyDescent="0.35">
      <c r="A6" s="1" t="s">
        <v>6</v>
      </c>
      <c r="B6" s="5">
        <v>45981</v>
      </c>
      <c r="C6" s="7"/>
      <c r="D6" s="3"/>
      <c r="E6" s="3"/>
      <c r="F6" s="3"/>
      <c r="G6" s="3"/>
      <c r="H6" s="3"/>
      <c r="I6" s="3"/>
    </row>
    <row r="7" spans="1:9" ht="16.2" thickBot="1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ht="47.4" thickBot="1" x14ac:dyDescent="0.35">
      <c r="A8" s="9" t="s">
        <v>7</v>
      </c>
      <c r="B8" s="9" t="s">
        <v>8</v>
      </c>
      <c r="C8" s="9" t="s">
        <v>9</v>
      </c>
      <c r="D8" s="28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114.6" customHeight="1" thickBot="1" x14ac:dyDescent="0.35">
      <c r="A9" s="10" t="s">
        <v>227</v>
      </c>
      <c r="B9" s="15" t="s">
        <v>218</v>
      </c>
      <c r="C9" s="29" t="s">
        <v>230</v>
      </c>
      <c r="D9" s="14" t="s">
        <v>242</v>
      </c>
      <c r="E9" s="27" t="s">
        <v>232</v>
      </c>
      <c r="F9" s="16" t="s">
        <v>250</v>
      </c>
      <c r="G9" s="16" t="s">
        <v>250</v>
      </c>
      <c r="H9" s="21" t="s">
        <v>17</v>
      </c>
      <c r="I9" s="10" t="s">
        <v>22</v>
      </c>
    </row>
    <row r="10" spans="1:9" ht="90.6" customHeight="1" thickBot="1" x14ac:dyDescent="0.35">
      <c r="A10" s="10" t="s">
        <v>228</v>
      </c>
      <c r="B10" s="15" t="s">
        <v>219</v>
      </c>
      <c r="C10" s="29" t="s">
        <v>231</v>
      </c>
      <c r="D10" s="14" t="s">
        <v>241</v>
      </c>
      <c r="E10" s="27" t="s">
        <v>221</v>
      </c>
      <c r="F10" s="16" t="s">
        <v>249</v>
      </c>
      <c r="G10" s="16" t="s">
        <v>249</v>
      </c>
      <c r="H10" s="21" t="s">
        <v>17</v>
      </c>
      <c r="I10" s="10" t="s">
        <v>22</v>
      </c>
    </row>
    <row r="11" spans="1:9" ht="15.6" x14ac:dyDescent="0.3">
      <c r="A11" s="12"/>
      <c r="B11" s="12"/>
      <c r="C11" s="12"/>
      <c r="D11" s="12"/>
      <c r="E11" s="12"/>
      <c r="F11" s="12"/>
      <c r="G11" s="22" t="s">
        <v>16</v>
      </c>
      <c r="H11" s="23">
        <f>COUNTIF(H9:H10,"Pass")</f>
        <v>0</v>
      </c>
      <c r="I11" s="12"/>
    </row>
    <row r="12" spans="1:9" ht="15.6" x14ac:dyDescent="0.3">
      <c r="A12" s="12"/>
      <c r="B12" s="12"/>
      <c r="C12" s="12"/>
      <c r="D12" s="12"/>
      <c r="E12" s="12"/>
      <c r="F12" s="12"/>
      <c r="G12" s="22" t="s">
        <v>17</v>
      </c>
      <c r="H12" s="23">
        <f>COUNTIF(H9:H10,"Fail")</f>
        <v>2</v>
      </c>
      <c r="I12" s="12"/>
    </row>
    <row r="13" spans="1:9" ht="15.6" x14ac:dyDescent="0.3">
      <c r="A13" s="12"/>
      <c r="B13" s="12"/>
      <c r="C13" s="12"/>
      <c r="D13" s="12"/>
      <c r="E13" s="12"/>
      <c r="F13" s="12"/>
      <c r="G13" s="24" t="s">
        <v>18</v>
      </c>
      <c r="H13" s="25">
        <f>COUNTIF(H10:H10,"Pending")</f>
        <v>0</v>
      </c>
      <c r="I13" s="12"/>
    </row>
    <row r="14" spans="1:9" ht="15.6" x14ac:dyDescent="0.3">
      <c r="A14" s="4"/>
      <c r="B14" s="4"/>
      <c r="C14" s="4"/>
      <c r="D14" s="4"/>
      <c r="E14" s="4"/>
      <c r="F14" s="4"/>
      <c r="G14" s="23" t="s">
        <v>19</v>
      </c>
      <c r="H14" s="23">
        <f>SUM(H11:H13)</f>
        <v>2</v>
      </c>
      <c r="I14" s="4"/>
    </row>
  </sheetData>
  <mergeCells count="1">
    <mergeCell ref="C1:E1"/>
  </mergeCells>
  <conditionalFormatting sqref="H9:H10">
    <cfRule type="cellIs" dxfId="7" priority="1" operator="equal">
      <formula>"Fail"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D0D2-B206-4206-9F90-CE738936749F}">
  <dimension ref="A1:I994"/>
  <sheetViews>
    <sheetView tabSelected="1" topLeftCell="A13" zoomScale="85" zoomScaleNormal="85" workbookViewId="0">
      <selection activeCell="H21" sqref="H21"/>
    </sheetView>
  </sheetViews>
  <sheetFormatPr defaultColWidth="14.44140625" defaultRowHeight="15.6" x14ac:dyDescent="0.3"/>
  <cols>
    <col min="1" max="1" width="17.33203125" style="4" customWidth="1"/>
    <col min="2" max="2" width="29.44140625" style="4" customWidth="1"/>
    <col min="3" max="3" width="23.109375" style="4" customWidth="1"/>
    <col min="4" max="4" width="21.33203125" style="4" customWidth="1"/>
    <col min="5" max="5" width="32.6640625" style="4" customWidth="1"/>
    <col min="6" max="6" width="34.88671875" style="4" bestFit="1" customWidth="1"/>
    <col min="7" max="7" width="32.6640625" style="4" customWidth="1"/>
    <col min="8" max="8" width="8.44140625" style="4" customWidth="1"/>
    <col min="9" max="9" width="19.88671875" style="4" customWidth="1"/>
    <col min="10" max="26" width="8.6640625" style="4" customWidth="1"/>
    <col min="27" max="16384" width="14.44140625" style="4"/>
  </cols>
  <sheetData>
    <row r="1" spans="1:9" ht="16.2" thickBot="1" x14ac:dyDescent="0.35">
      <c r="A1" s="1" t="s">
        <v>0</v>
      </c>
      <c r="B1" s="2" t="s">
        <v>20</v>
      </c>
      <c r="C1" s="61" t="s">
        <v>1</v>
      </c>
      <c r="D1" s="62"/>
      <c r="E1" s="63"/>
      <c r="F1" s="3"/>
      <c r="G1" s="3"/>
      <c r="H1" s="3"/>
      <c r="I1" s="3"/>
    </row>
    <row r="2" spans="1:9" ht="16.2" thickBot="1" x14ac:dyDescent="0.35">
      <c r="A2" s="1" t="s">
        <v>2</v>
      </c>
      <c r="B2" s="2" t="s">
        <v>45</v>
      </c>
      <c r="C2" s="3"/>
      <c r="D2" s="3"/>
      <c r="E2" s="3"/>
      <c r="F2" s="3"/>
      <c r="G2" s="3"/>
      <c r="H2" s="3"/>
      <c r="I2" s="3"/>
    </row>
    <row r="3" spans="1:9" ht="16.2" thickBot="1" x14ac:dyDescent="0.35">
      <c r="A3" s="1" t="s">
        <v>3</v>
      </c>
      <c r="B3" s="2" t="s">
        <v>29</v>
      </c>
      <c r="C3" s="3"/>
      <c r="D3" s="3"/>
      <c r="E3" s="3"/>
      <c r="F3" s="3"/>
      <c r="G3" s="3"/>
      <c r="H3" s="3"/>
      <c r="I3" s="3"/>
    </row>
    <row r="4" spans="1:9" ht="16.2" thickBot="1" x14ac:dyDescent="0.35">
      <c r="A4" s="1" t="s">
        <v>4</v>
      </c>
      <c r="B4" s="5">
        <v>45976</v>
      </c>
      <c r="C4" s="6"/>
      <c r="D4" s="3"/>
      <c r="E4" s="3"/>
      <c r="F4" s="3"/>
      <c r="G4" s="3"/>
      <c r="H4" s="3"/>
      <c r="I4" s="3"/>
    </row>
    <row r="5" spans="1:9" ht="16.2" thickBot="1" x14ac:dyDescent="0.35">
      <c r="A5" s="1" t="s">
        <v>5</v>
      </c>
      <c r="B5" s="2" t="s">
        <v>30</v>
      </c>
      <c r="C5" s="3"/>
      <c r="D5" s="3"/>
      <c r="E5" s="3"/>
      <c r="F5" s="3"/>
      <c r="G5" s="3"/>
      <c r="H5" s="3"/>
      <c r="I5" s="3"/>
    </row>
    <row r="6" spans="1:9" ht="16.2" thickBot="1" x14ac:dyDescent="0.35">
      <c r="A6" s="1" t="s">
        <v>6</v>
      </c>
      <c r="B6" s="5">
        <v>45981</v>
      </c>
      <c r="C6" s="7"/>
      <c r="D6" s="3"/>
      <c r="E6" s="3"/>
      <c r="F6" s="3"/>
      <c r="G6" s="3"/>
      <c r="H6" s="3"/>
      <c r="I6" s="3"/>
    </row>
    <row r="7" spans="1:9" ht="14.25" customHeight="1" thickBot="1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ht="16.2" thickBot="1" x14ac:dyDescent="0.35">
      <c r="A8" s="9" t="s">
        <v>7</v>
      </c>
      <c r="B8" s="9" t="s">
        <v>8</v>
      </c>
      <c r="C8" s="9" t="s">
        <v>9</v>
      </c>
      <c r="D8" s="28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60.6" customHeight="1" thickBot="1" x14ac:dyDescent="0.35">
      <c r="A9" s="10" t="s">
        <v>32</v>
      </c>
      <c r="B9" s="15" t="s">
        <v>46</v>
      </c>
      <c r="C9" s="26" t="s">
        <v>47</v>
      </c>
      <c r="D9" s="14" t="s">
        <v>52</v>
      </c>
      <c r="E9" s="27" t="s">
        <v>31</v>
      </c>
      <c r="F9" s="16" t="s">
        <v>48</v>
      </c>
      <c r="G9" s="16" t="s">
        <v>48</v>
      </c>
      <c r="H9" s="21" t="s">
        <v>16</v>
      </c>
      <c r="I9" s="10" t="s">
        <v>22</v>
      </c>
    </row>
    <row r="10" spans="1:9" ht="31.8" thickBot="1" x14ac:dyDescent="0.35">
      <c r="A10" s="10" t="s">
        <v>33</v>
      </c>
      <c r="B10" s="15" t="s">
        <v>49</v>
      </c>
      <c r="C10" s="26" t="s">
        <v>50</v>
      </c>
      <c r="D10" s="14" t="s">
        <v>52</v>
      </c>
      <c r="E10" s="27" t="s">
        <v>51</v>
      </c>
      <c r="F10" s="16" t="s">
        <v>53</v>
      </c>
      <c r="G10" s="16" t="s">
        <v>53</v>
      </c>
      <c r="H10" s="21" t="s">
        <v>16</v>
      </c>
      <c r="I10" s="10" t="s">
        <v>22</v>
      </c>
    </row>
    <row r="11" spans="1:9" ht="31.8" thickBot="1" x14ac:dyDescent="0.35">
      <c r="A11" s="10" t="s">
        <v>34</v>
      </c>
      <c r="B11" s="15" t="s">
        <v>54</v>
      </c>
      <c r="C11" s="26" t="s">
        <v>55</v>
      </c>
      <c r="D11" s="14" t="s">
        <v>52</v>
      </c>
      <c r="E11" s="27" t="s">
        <v>56</v>
      </c>
      <c r="F11" s="16" t="s">
        <v>53</v>
      </c>
      <c r="G11" s="16" t="s">
        <v>53</v>
      </c>
      <c r="H11" s="21" t="s">
        <v>16</v>
      </c>
      <c r="I11" s="10" t="s">
        <v>22</v>
      </c>
    </row>
    <row r="12" spans="1:9" ht="31.8" thickBot="1" x14ac:dyDescent="0.35">
      <c r="A12" s="10" t="s">
        <v>35</v>
      </c>
      <c r="B12" s="15" t="s">
        <v>57</v>
      </c>
      <c r="C12" s="26" t="s">
        <v>66</v>
      </c>
      <c r="D12" s="14" t="s">
        <v>52</v>
      </c>
      <c r="E12" s="27" t="s">
        <v>80</v>
      </c>
      <c r="F12" s="16" t="s">
        <v>53</v>
      </c>
      <c r="G12" s="16" t="s">
        <v>53</v>
      </c>
      <c r="H12" s="21" t="s">
        <v>16</v>
      </c>
      <c r="I12" s="10" t="s">
        <v>22</v>
      </c>
    </row>
    <row r="13" spans="1:9" ht="31.8" thickBot="1" x14ac:dyDescent="0.35">
      <c r="A13" s="10" t="s">
        <v>88</v>
      </c>
      <c r="B13" s="15" t="s">
        <v>58</v>
      </c>
      <c r="C13" s="26" t="s">
        <v>65</v>
      </c>
      <c r="D13" s="14" t="s">
        <v>52</v>
      </c>
      <c r="E13" s="27" t="s">
        <v>79</v>
      </c>
      <c r="F13" s="16" t="s">
        <v>53</v>
      </c>
      <c r="G13" s="16" t="s">
        <v>53</v>
      </c>
      <c r="H13" s="21" t="s">
        <v>16</v>
      </c>
      <c r="I13" s="10" t="s">
        <v>22</v>
      </c>
    </row>
    <row r="14" spans="1:9" ht="31.8" thickBot="1" x14ac:dyDescent="0.35">
      <c r="A14" s="10" t="s">
        <v>36</v>
      </c>
      <c r="B14" s="15" t="s">
        <v>59</v>
      </c>
      <c r="C14" s="26" t="s">
        <v>64</v>
      </c>
      <c r="D14" s="14" t="s">
        <v>52</v>
      </c>
      <c r="E14" s="27" t="s">
        <v>78</v>
      </c>
      <c r="F14" s="16" t="s">
        <v>53</v>
      </c>
      <c r="G14" s="16" t="s">
        <v>53</v>
      </c>
      <c r="H14" s="21" t="s">
        <v>16</v>
      </c>
      <c r="I14" s="10" t="s">
        <v>25</v>
      </c>
    </row>
    <row r="15" spans="1:9" ht="31.8" thickBot="1" x14ac:dyDescent="0.35">
      <c r="A15" s="10" t="s">
        <v>37</v>
      </c>
      <c r="B15" s="15" t="s">
        <v>60</v>
      </c>
      <c r="C15" s="26" t="s">
        <v>67</v>
      </c>
      <c r="D15" s="14" t="s">
        <v>52</v>
      </c>
      <c r="E15" s="27" t="s">
        <v>77</v>
      </c>
      <c r="F15" s="16" t="s">
        <v>53</v>
      </c>
      <c r="G15" s="16" t="s">
        <v>53</v>
      </c>
      <c r="H15" s="21" t="s">
        <v>16</v>
      </c>
      <c r="I15" s="10" t="s">
        <v>25</v>
      </c>
    </row>
    <row r="16" spans="1:9" ht="31.8" thickBot="1" x14ac:dyDescent="0.35">
      <c r="A16" s="10" t="s">
        <v>38</v>
      </c>
      <c r="B16" s="15" t="s">
        <v>61</v>
      </c>
      <c r="C16" s="26" t="s">
        <v>68</v>
      </c>
      <c r="D16" s="14" t="s">
        <v>52</v>
      </c>
      <c r="E16" s="27" t="s">
        <v>76</v>
      </c>
      <c r="F16" s="16" t="s">
        <v>53</v>
      </c>
      <c r="G16" s="16" t="s">
        <v>53</v>
      </c>
      <c r="H16" s="21" t="s">
        <v>16</v>
      </c>
      <c r="I16" s="10" t="s">
        <v>25</v>
      </c>
    </row>
    <row r="17" spans="1:9" ht="31.8" thickBot="1" x14ac:dyDescent="0.35">
      <c r="A17" s="10" t="s">
        <v>39</v>
      </c>
      <c r="B17" s="15" t="s">
        <v>62</v>
      </c>
      <c r="C17" s="26" t="s">
        <v>69</v>
      </c>
      <c r="D17" s="14" t="s">
        <v>52</v>
      </c>
      <c r="E17" s="27" t="s">
        <v>75</v>
      </c>
      <c r="F17" s="16" t="s">
        <v>53</v>
      </c>
      <c r="G17" s="16" t="s">
        <v>53</v>
      </c>
      <c r="H17" s="21" t="s">
        <v>16</v>
      </c>
      <c r="I17" s="10" t="s">
        <v>22</v>
      </c>
    </row>
    <row r="18" spans="1:9" ht="31.8" thickBot="1" x14ac:dyDescent="0.35">
      <c r="A18" s="10" t="s">
        <v>40</v>
      </c>
      <c r="B18" s="15" t="s">
        <v>63</v>
      </c>
      <c r="C18" s="26" t="s">
        <v>70</v>
      </c>
      <c r="D18" s="14" t="s">
        <v>52</v>
      </c>
      <c r="E18" s="27" t="s">
        <v>74</v>
      </c>
      <c r="F18" s="16" t="s">
        <v>53</v>
      </c>
      <c r="G18" s="16" t="s">
        <v>53</v>
      </c>
      <c r="H18" s="21" t="s">
        <v>16</v>
      </c>
      <c r="I18" s="10" t="s">
        <v>22</v>
      </c>
    </row>
    <row r="19" spans="1:9" ht="31.8" thickBot="1" x14ac:dyDescent="0.35">
      <c r="A19" s="10" t="s">
        <v>41</v>
      </c>
      <c r="B19" s="15" t="s">
        <v>326</v>
      </c>
      <c r="C19" s="26" t="s">
        <v>85</v>
      </c>
      <c r="D19" s="14" t="s">
        <v>86</v>
      </c>
      <c r="E19" s="27" t="s">
        <v>31</v>
      </c>
      <c r="F19" s="16" t="s">
        <v>53</v>
      </c>
      <c r="G19" s="16" t="s">
        <v>53</v>
      </c>
      <c r="H19" s="21" t="s">
        <v>16</v>
      </c>
      <c r="I19" s="10" t="s">
        <v>22</v>
      </c>
    </row>
    <row r="20" spans="1:9" ht="63" thickBot="1" x14ac:dyDescent="0.35">
      <c r="A20" s="10" t="s">
        <v>42</v>
      </c>
      <c r="B20" s="15" t="s">
        <v>327</v>
      </c>
      <c r="C20" s="26" t="s">
        <v>84</v>
      </c>
      <c r="D20" s="14" t="s">
        <v>87</v>
      </c>
      <c r="E20" s="27" t="s">
        <v>73</v>
      </c>
      <c r="F20" s="16" t="s">
        <v>82</v>
      </c>
      <c r="G20" s="16" t="s">
        <v>82</v>
      </c>
      <c r="H20" s="21" t="s">
        <v>17</v>
      </c>
      <c r="I20" s="10" t="s">
        <v>25</v>
      </c>
    </row>
    <row r="21" spans="1:9" ht="86.4" customHeight="1" thickBot="1" x14ac:dyDescent="0.35">
      <c r="A21" s="10" t="s">
        <v>43</v>
      </c>
      <c r="B21" s="15" t="s">
        <v>83</v>
      </c>
      <c r="C21" s="26" t="s">
        <v>84</v>
      </c>
      <c r="D21" s="14" t="s">
        <v>87</v>
      </c>
      <c r="E21" s="27" t="s">
        <v>72</v>
      </c>
      <c r="F21" s="16" t="s">
        <v>81</v>
      </c>
      <c r="G21" s="16" t="s">
        <v>81</v>
      </c>
      <c r="H21" s="21" t="s">
        <v>17</v>
      </c>
      <c r="I21" s="10" t="s">
        <v>25</v>
      </c>
    </row>
    <row r="22" spans="1:9" ht="61.2" customHeight="1" thickBot="1" x14ac:dyDescent="0.35">
      <c r="A22" s="10" t="s">
        <v>44</v>
      </c>
      <c r="B22" s="15" t="s">
        <v>328</v>
      </c>
      <c r="C22" s="26" t="s">
        <v>84</v>
      </c>
      <c r="D22" s="14" t="s">
        <v>87</v>
      </c>
      <c r="E22" s="27" t="s">
        <v>71</v>
      </c>
      <c r="F22" s="16" t="s">
        <v>81</v>
      </c>
      <c r="G22" s="16" t="s">
        <v>81</v>
      </c>
      <c r="H22" s="21" t="s">
        <v>17</v>
      </c>
      <c r="I22" s="10" t="s">
        <v>25</v>
      </c>
    </row>
    <row r="23" spans="1:9" x14ac:dyDescent="0.3">
      <c r="A23" s="12"/>
      <c r="B23" s="12"/>
      <c r="C23" s="12"/>
      <c r="D23" s="12"/>
      <c r="E23" s="12"/>
      <c r="F23" s="12"/>
      <c r="G23" s="22" t="s">
        <v>16</v>
      </c>
      <c r="H23" s="23">
        <f>COUNTIF(H9:H22,"Pass")</f>
        <v>11</v>
      </c>
      <c r="I23" s="12"/>
    </row>
    <row r="24" spans="1:9" x14ac:dyDescent="0.3">
      <c r="A24" s="12"/>
      <c r="B24" s="12"/>
      <c r="C24" s="12"/>
      <c r="D24" s="12"/>
      <c r="E24" s="12"/>
      <c r="F24" s="12"/>
      <c r="G24" s="22" t="s">
        <v>17</v>
      </c>
      <c r="H24" s="23">
        <f>COUNTIF(H9:H22,"Fail")</f>
        <v>3</v>
      </c>
      <c r="I24" s="12"/>
    </row>
    <row r="25" spans="1:9" x14ac:dyDescent="0.3">
      <c r="A25" s="12"/>
      <c r="B25" s="12"/>
      <c r="C25" s="12"/>
      <c r="D25" s="12"/>
      <c r="E25" s="12"/>
      <c r="F25" s="12"/>
      <c r="G25" s="24" t="s">
        <v>18</v>
      </c>
      <c r="H25" s="25">
        <f>COUNTIF(H9:H22,"Pending")</f>
        <v>0</v>
      </c>
      <c r="I25" s="12"/>
    </row>
    <row r="26" spans="1:9" x14ac:dyDescent="0.3">
      <c r="A26" s="12"/>
      <c r="B26" s="12"/>
      <c r="C26" s="12"/>
      <c r="D26" s="12"/>
      <c r="E26" s="12"/>
      <c r="F26" s="12"/>
      <c r="G26" s="23" t="s">
        <v>19</v>
      </c>
      <c r="H26" s="23">
        <f>SUM(H23:H25)</f>
        <v>14</v>
      </c>
      <c r="I26" s="12"/>
    </row>
    <row r="27" spans="1:9" ht="14.2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</row>
    <row r="28" spans="1:9" ht="14.2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</row>
    <row r="29" spans="1:9" ht="14.2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</row>
    <row r="30" spans="1:9" ht="14.2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</row>
    <row r="31" spans="1:9" ht="14.2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</row>
    <row r="32" spans="1:9" ht="14.2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mergeCells count="1">
    <mergeCell ref="C1:E1"/>
  </mergeCells>
  <conditionalFormatting sqref="H9:H22">
    <cfRule type="cellIs" dxfId="6" priority="1" operator="equal">
      <formula>"Fail"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6005-A9C1-4F6C-BCB7-88DD1BF2CBB6}">
  <dimension ref="A1:I988"/>
  <sheetViews>
    <sheetView topLeftCell="A15" zoomScale="85" zoomScaleNormal="85" workbookViewId="0">
      <selection activeCell="B9" sqref="B9"/>
    </sheetView>
  </sheetViews>
  <sheetFormatPr defaultColWidth="14.44140625" defaultRowHeight="15.6" x14ac:dyDescent="0.3"/>
  <cols>
    <col min="1" max="1" width="17.33203125" style="4" customWidth="1"/>
    <col min="2" max="2" width="29.44140625" style="4" customWidth="1"/>
    <col min="3" max="3" width="24.33203125" style="4" customWidth="1"/>
    <col min="4" max="4" width="26.6640625" style="4" customWidth="1"/>
    <col min="5" max="5" width="35.21875" style="4" bestFit="1" customWidth="1"/>
    <col min="6" max="6" width="34.88671875" style="4" bestFit="1" customWidth="1"/>
    <col min="7" max="7" width="27.5546875" style="4" bestFit="1" customWidth="1"/>
    <col min="8" max="8" width="8.44140625" style="4" customWidth="1"/>
    <col min="9" max="9" width="19.88671875" style="4" customWidth="1"/>
    <col min="10" max="26" width="8.6640625" style="4" customWidth="1"/>
    <col min="27" max="16384" width="14.44140625" style="4"/>
  </cols>
  <sheetData>
    <row r="1" spans="1:9" ht="16.2" thickBot="1" x14ac:dyDescent="0.35">
      <c r="A1" s="1" t="s">
        <v>0</v>
      </c>
      <c r="B1" s="2" t="s">
        <v>20</v>
      </c>
      <c r="C1" s="61" t="s">
        <v>1</v>
      </c>
      <c r="D1" s="62"/>
      <c r="E1" s="63"/>
      <c r="F1" s="3"/>
      <c r="G1" s="3"/>
      <c r="H1" s="3"/>
      <c r="I1" s="3"/>
    </row>
    <row r="2" spans="1:9" ht="16.2" thickBot="1" x14ac:dyDescent="0.35">
      <c r="A2" s="1" t="s">
        <v>2</v>
      </c>
      <c r="B2" s="2" t="s">
        <v>318</v>
      </c>
      <c r="C2" s="3"/>
      <c r="D2" s="3"/>
      <c r="E2" s="3"/>
      <c r="F2" s="3"/>
      <c r="G2" s="3"/>
      <c r="H2" s="3"/>
      <c r="I2" s="3"/>
    </row>
    <row r="3" spans="1:9" ht="16.2" thickBot="1" x14ac:dyDescent="0.35">
      <c r="A3" s="1" t="s">
        <v>3</v>
      </c>
      <c r="B3" s="2" t="s">
        <v>29</v>
      </c>
      <c r="C3" s="3"/>
      <c r="D3" s="3"/>
      <c r="E3" s="3"/>
      <c r="F3" s="3"/>
      <c r="G3" s="3"/>
      <c r="H3" s="3"/>
      <c r="I3" s="3"/>
    </row>
    <row r="4" spans="1:9" ht="16.2" thickBot="1" x14ac:dyDescent="0.35">
      <c r="A4" s="1" t="s">
        <v>4</v>
      </c>
      <c r="B4" s="5">
        <v>45976</v>
      </c>
      <c r="C4" s="6"/>
      <c r="D4" s="3"/>
      <c r="E4" s="3"/>
      <c r="F4" s="3"/>
      <c r="G4" s="3"/>
      <c r="H4" s="3"/>
      <c r="I4" s="3"/>
    </row>
    <row r="5" spans="1:9" ht="16.2" thickBot="1" x14ac:dyDescent="0.35">
      <c r="A5" s="1" t="s">
        <v>5</v>
      </c>
      <c r="B5" s="2" t="s">
        <v>30</v>
      </c>
      <c r="C5" s="3"/>
      <c r="D5" s="3"/>
      <c r="E5" s="3"/>
      <c r="F5" s="3"/>
      <c r="G5" s="3"/>
      <c r="H5" s="3"/>
      <c r="I5" s="3"/>
    </row>
    <row r="6" spans="1:9" ht="16.2" thickBot="1" x14ac:dyDescent="0.35">
      <c r="A6" s="1" t="s">
        <v>6</v>
      </c>
      <c r="B6" s="5">
        <v>45981</v>
      </c>
      <c r="C6" s="7"/>
      <c r="D6" s="3"/>
      <c r="E6" s="3"/>
      <c r="F6" s="3"/>
      <c r="G6" s="3"/>
      <c r="H6" s="3"/>
      <c r="I6" s="3"/>
    </row>
    <row r="7" spans="1:9" ht="14.25" customHeight="1" thickBot="1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ht="16.2" thickBot="1" x14ac:dyDescent="0.35">
      <c r="A8" s="9" t="s">
        <v>7</v>
      </c>
      <c r="B8" s="9" t="s">
        <v>8</v>
      </c>
      <c r="C8" s="9" t="s">
        <v>9</v>
      </c>
      <c r="D8" s="28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87" customHeight="1" thickBot="1" x14ac:dyDescent="0.35">
      <c r="A9" s="10" t="s">
        <v>269</v>
      </c>
      <c r="B9" s="15" t="s">
        <v>284</v>
      </c>
      <c r="C9" s="26" t="s">
        <v>259</v>
      </c>
      <c r="D9" s="14" t="s">
        <v>299</v>
      </c>
      <c r="E9" s="27" t="s">
        <v>303</v>
      </c>
      <c r="F9" s="16" t="s">
        <v>300</v>
      </c>
      <c r="G9" s="16" t="s">
        <v>300</v>
      </c>
      <c r="H9" s="21" t="s">
        <v>16</v>
      </c>
      <c r="I9" s="10" t="s">
        <v>21</v>
      </c>
    </row>
    <row r="10" spans="1:9" ht="47.4" thickBot="1" x14ac:dyDescent="0.35">
      <c r="A10" s="10" t="s">
        <v>270</v>
      </c>
      <c r="B10" s="15" t="s">
        <v>285</v>
      </c>
      <c r="C10" s="26" t="s">
        <v>259</v>
      </c>
      <c r="D10" s="14" t="s">
        <v>302</v>
      </c>
      <c r="E10" s="27" t="s">
        <v>304</v>
      </c>
      <c r="F10" s="16" t="s">
        <v>301</v>
      </c>
      <c r="G10" s="16" t="s">
        <v>301</v>
      </c>
      <c r="H10" s="21" t="s">
        <v>16</v>
      </c>
      <c r="I10" s="10" t="s">
        <v>21</v>
      </c>
    </row>
    <row r="11" spans="1:9" ht="52.8" customHeight="1" thickBot="1" x14ac:dyDescent="0.35">
      <c r="A11" s="10" t="s">
        <v>271</v>
      </c>
      <c r="B11" s="15" t="s">
        <v>286</v>
      </c>
      <c r="C11" s="26" t="s">
        <v>259</v>
      </c>
      <c r="D11" s="14" t="s">
        <v>302</v>
      </c>
      <c r="E11" s="27" t="s">
        <v>305</v>
      </c>
      <c r="F11" s="16" t="s">
        <v>301</v>
      </c>
      <c r="G11" s="16" t="s">
        <v>301</v>
      </c>
      <c r="H11" s="21" t="s">
        <v>16</v>
      </c>
      <c r="I11" s="10" t="s">
        <v>21</v>
      </c>
    </row>
    <row r="12" spans="1:9" ht="60" customHeight="1" thickBot="1" x14ac:dyDescent="0.35">
      <c r="A12" s="10" t="s">
        <v>272</v>
      </c>
      <c r="B12" s="15" t="s">
        <v>287</v>
      </c>
      <c r="C12" s="26" t="s">
        <v>259</v>
      </c>
      <c r="D12" s="14" t="s">
        <v>302</v>
      </c>
      <c r="E12" s="27" t="s">
        <v>306</v>
      </c>
      <c r="F12" s="16" t="s">
        <v>301</v>
      </c>
      <c r="G12" s="16" t="s">
        <v>301</v>
      </c>
      <c r="H12" s="21" t="s">
        <v>16</v>
      </c>
      <c r="I12" s="10" t="s">
        <v>21</v>
      </c>
    </row>
    <row r="13" spans="1:9" ht="53.4" customHeight="1" thickBot="1" x14ac:dyDescent="0.35">
      <c r="A13" s="10" t="s">
        <v>273</v>
      </c>
      <c r="B13" s="15" t="s">
        <v>288</v>
      </c>
      <c r="C13" s="26" t="s">
        <v>259</v>
      </c>
      <c r="D13" s="14" t="s">
        <v>302</v>
      </c>
      <c r="E13" s="27" t="s">
        <v>307</v>
      </c>
      <c r="F13" s="16" t="s">
        <v>301</v>
      </c>
      <c r="G13" s="16" t="s">
        <v>301</v>
      </c>
      <c r="H13" s="21" t="s">
        <v>16</v>
      </c>
      <c r="I13" s="10" t="s">
        <v>21</v>
      </c>
    </row>
    <row r="14" spans="1:9" ht="56.4" customHeight="1" thickBot="1" x14ac:dyDescent="0.35">
      <c r="A14" s="10" t="s">
        <v>274</v>
      </c>
      <c r="B14" s="15" t="s">
        <v>289</v>
      </c>
      <c r="C14" s="26" t="s">
        <v>259</v>
      </c>
      <c r="D14" s="14" t="s">
        <v>302</v>
      </c>
      <c r="E14" s="27" t="s">
        <v>308</v>
      </c>
      <c r="F14" s="16" t="s">
        <v>301</v>
      </c>
      <c r="G14" s="16" t="s">
        <v>301</v>
      </c>
      <c r="H14" s="21" t="s">
        <v>16</v>
      </c>
      <c r="I14" s="10" t="s">
        <v>21</v>
      </c>
    </row>
    <row r="15" spans="1:9" ht="44.4" customHeight="1" thickBot="1" x14ac:dyDescent="0.35">
      <c r="A15" s="10" t="s">
        <v>275</v>
      </c>
      <c r="B15" s="15" t="s">
        <v>290</v>
      </c>
      <c r="C15" s="26" t="s">
        <v>259</v>
      </c>
      <c r="D15" s="14" t="s">
        <v>302</v>
      </c>
      <c r="E15" s="27" t="s">
        <v>309</v>
      </c>
      <c r="F15" s="16" t="s">
        <v>301</v>
      </c>
      <c r="G15" s="16" t="s">
        <v>301</v>
      </c>
      <c r="H15" s="21" t="s">
        <v>16</v>
      </c>
      <c r="I15" s="10" t="s">
        <v>21</v>
      </c>
    </row>
    <row r="16" spans="1:9" ht="47.4" customHeight="1" thickBot="1" x14ac:dyDescent="0.35">
      <c r="A16" s="10" t="s">
        <v>276</v>
      </c>
      <c r="B16" s="15" t="s">
        <v>291</v>
      </c>
      <c r="C16" s="26" t="s">
        <v>259</v>
      </c>
      <c r="D16" s="14" t="s">
        <v>302</v>
      </c>
      <c r="E16" s="27" t="s">
        <v>310</v>
      </c>
      <c r="F16" s="16" t="s">
        <v>301</v>
      </c>
      <c r="G16" s="16" t="s">
        <v>301</v>
      </c>
      <c r="H16" s="21" t="s">
        <v>16</v>
      </c>
      <c r="I16" s="10" t="s">
        <v>21</v>
      </c>
    </row>
    <row r="17" spans="1:9" ht="57.6" customHeight="1" thickBot="1" x14ac:dyDescent="0.35">
      <c r="A17" s="10" t="s">
        <v>277</v>
      </c>
      <c r="B17" s="15" t="s">
        <v>292</v>
      </c>
      <c r="C17" s="26" t="s">
        <v>259</v>
      </c>
      <c r="D17" s="14" t="s">
        <v>302</v>
      </c>
      <c r="E17" s="27" t="s">
        <v>311</v>
      </c>
      <c r="F17" s="16" t="s">
        <v>301</v>
      </c>
      <c r="G17" s="16" t="s">
        <v>301</v>
      </c>
      <c r="H17" s="21" t="s">
        <v>16</v>
      </c>
      <c r="I17" s="10" t="s">
        <v>21</v>
      </c>
    </row>
    <row r="18" spans="1:9" ht="43.8" customHeight="1" thickBot="1" x14ac:dyDescent="0.35">
      <c r="A18" s="10" t="s">
        <v>278</v>
      </c>
      <c r="B18" s="15" t="s">
        <v>293</v>
      </c>
      <c r="C18" s="26" t="s">
        <v>259</v>
      </c>
      <c r="D18" s="14" t="s">
        <v>302</v>
      </c>
      <c r="E18" s="27" t="s">
        <v>312</v>
      </c>
      <c r="F18" s="16" t="s">
        <v>301</v>
      </c>
      <c r="G18" s="16" t="s">
        <v>301</v>
      </c>
      <c r="H18" s="21" t="s">
        <v>16</v>
      </c>
      <c r="I18" s="10" t="s">
        <v>21</v>
      </c>
    </row>
    <row r="19" spans="1:9" ht="56.4" customHeight="1" thickBot="1" x14ac:dyDescent="0.35">
      <c r="A19" s="10" t="s">
        <v>279</v>
      </c>
      <c r="B19" s="15" t="s">
        <v>294</v>
      </c>
      <c r="C19" s="26" t="s">
        <v>259</v>
      </c>
      <c r="D19" s="14" t="s">
        <v>302</v>
      </c>
      <c r="E19" s="27" t="s">
        <v>313</v>
      </c>
      <c r="F19" s="16" t="s">
        <v>301</v>
      </c>
      <c r="G19" s="16" t="s">
        <v>301</v>
      </c>
      <c r="H19" s="21" t="s">
        <v>16</v>
      </c>
      <c r="I19" s="10" t="s">
        <v>21</v>
      </c>
    </row>
    <row r="20" spans="1:9" ht="58.8" customHeight="1" thickBot="1" x14ac:dyDescent="0.35">
      <c r="A20" s="10" t="s">
        <v>280</v>
      </c>
      <c r="B20" s="15" t="s">
        <v>295</v>
      </c>
      <c r="C20" s="26" t="s">
        <v>259</v>
      </c>
      <c r="D20" s="14" t="s">
        <v>302</v>
      </c>
      <c r="E20" s="27" t="s">
        <v>314</v>
      </c>
      <c r="F20" s="16" t="s">
        <v>301</v>
      </c>
      <c r="G20" s="16" t="s">
        <v>301</v>
      </c>
      <c r="H20" s="21" t="s">
        <v>16</v>
      </c>
      <c r="I20" s="10" t="s">
        <v>21</v>
      </c>
    </row>
    <row r="21" spans="1:9" ht="52.8" customHeight="1" thickBot="1" x14ac:dyDescent="0.35">
      <c r="A21" s="10" t="s">
        <v>281</v>
      </c>
      <c r="B21" s="15" t="s">
        <v>296</v>
      </c>
      <c r="C21" s="26" t="s">
        <v>259</v>
      </c>
      <c r="D21" s="14" t="s">
        <v>302</v>
      </c>
      <c r="E21" s="27" t="s">
        <v>315</v>
      </c>
      <c r="F21" s="16" t="s">
        <v>301</v>
      </c>
      <c r="G21" s="16" t="s">
        <v>301</v>
      </c>
      <c r="H21" s="21" t="s">
        <v>16</v>
      </c>
      <c r="I21" s="10" t="s">
        <v>21</v>
      </c>
    </row>
    <row r="22" spans="1:9" ht="57.6" customHeight="1" thickBot="1" x14ac:dyDescent="0.35">
      <c r="A22" s="10" t="s">
        <v>282</v>
      </c>
      <c r="B22" s="15" t="s">
        <v>297</v>
      </c>
      <c r="C22" s="26" t="s">
        <v>259</v>
      </c>
      <c r="D22" s="14" t="s">
        <v>302</v>
      </c>
      <c r="E22" s="27" t="s">
        <v>316</v>
      </c>
      <c r="F22" s="16" t="s">
        <v>301</v>
      </c>
      <c r="G22" s="16" t="s">
        <v>301</v>
      </c>
      <c r="H22" s="21" t="s">
        <v>16</v>
      </c>
      <c r="I22" s="10" t="s">
        <v>21</v>
      </c>
    </row>
    <row r="23" spans="1:9" ht="47.4" thickBot="1" x14ac:dyDescent="0.35">
      <c r="A23" s="10" t="s">
        <v>283</v>
      </c>
      <c r="B23" s="15" t="s">
        <v>298</v>
      </c>
      <c r="C23" s="26" t="s">
        <v>259</v>
      </c>
      <c r="D23" s="14" t="s">
        <v>302</v>
      </c>
      <c r="E23" s="27" t="s">
        <v>317</v>
      </c>
      <c r="F23" s="16" t="s">
        <v>301</v>
      </c>
      <c r="G23" s="16" t="s">
        <v>301</v>
      </c>
      <c r="H23" s="21" t="s">
        <v>16</v>
      </c>
      <c r="I23" s="10" t="s">
        <v>21</v>
      </c>
    </row>
    <row r="24" spans="1:9" ht="14.25" customHeight="1" x14ac:dyDescent="0.3">
      <c r="A24" s="12"/>
      <c r="B24" s="12"/>
      <c r="C24" s="12"/>
      <c r="D24" s="12"/>
      <c r="E24" s="12"/>
      <c r="F24" s="12"/>
      <c r="G24" s="22" t="s">
        <v>16</v>
      </c>
      <c r="H24" s="23">
        <f>COUNTIF(H9:H23,"Pass")</f>
        <v>15</v>
      </c>
      <c r="I24" s="12"/>
    </row>
    <row r="25" spans="1:9" ht="14.25" customHeight="1" x14ac:dyDescent="0.3">
      <c r="A25" s="12"/>
      <c r="B25" s="12"/>
      <c r="C25" s="12"/>
      <c r="D25" s="12"/>
      <c r="E25" s="12"/>
      <c r="F25" s="12"/>
      <c r="G25" s="22" t="s">
        <v>17</v>
      </c>
      <c r="H25" s="23">
        <f>COUNTIF(H9:H23,"Fail")</f>
        <v>0</v>
      </c>
      <c r="I25" s="12"/>
    </row>
    <row r="26" spans="1:9" ht="14.25" customHeight="1" x14ac:dyDescent="0.3">
      <c r="A26" s="12"/>
      <c r="B26" s="12"/>
      <c r="C26" s="12"/>
      <c r="D26" s="12"/>
      <c r="E26" s="12"/>
      <c r="F26" s="12"/>
      <c r="G26" s="24" t="s">
        <v>18</v>
      </c>
      <c r="H26" s="25">
        <f>COUNTIF(H10:H23,"Pending")</f>
        <v>0</v>
      </c>
      <c r="I26" s="12"/>
    </row>
    <row r="27" spans="1:9" ht="14.25" customHeight="1" x14ac:dyDescent="0.3">
      <c r="G27" s="23" t="s">
        <v>19</v>
      </c>
      <c r="H27" s="23">
        <f>SUM(H24:H26)</f>
        <v>15</v>
      </c>
    </row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</sheetData>
  <mergeCells count="1">
    <mergeCell ref="C1:E1"/>
  </mergeCells>
  <phoneticPr fontId="7" type="noConversion"/>
  <conditionalFormatting sqref="H9:H23">
    <cfRule type="cellIs" dxfId="5" priority="1" operator="equal">
      <formula>"Fail"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19A9-E62E-4538-BB23-5175B14390F0}">
  <dimension ref="A1:I974"/>
  <sheetViews>
    <sheetView zoomScale="70" zoomScaleNormal="70" workbookViewId="0">
      <selection activeCell="H11" sqref="H11"/>
    </sheetView>
  </sheetViews>
  <sheetFormatPr defaultColWidth="14.44140625" defaultRowHeight="15.6" x14ac:dyDescent="0.3"/>
  <cols>
    <col min="1" max="1" width="17.33203125" style="4" customWidth="1"/>
    <col min="2" max="2" width="30.77734375" style="4" customWidth="1"/>
    <col min="3" max="3" width="24.33203125" style="4" customWidth="1"/>
    <col min="4" max="4" width="26.6640625" style="4" customWidth="1"/>
    <col min="5" max="5" width="31.109375" style="4" customWidth="1"/>
    <col min="6" max="6" width="28.6640625" style="4" customWidth="1"/>
    <col min="7" max="7" width="29.6640625" style="4" customWidth="1"/>
    <col min="8" max="8" width="20.5546875" style="4" customWidth="1"/>
    <col min="9" max="9" width="19.88671875" style="4" customWidth="1"/>
    <col min="10" max="25" width="8.6640625" style="4" customWidth="1"/>
    <col min="26" max="16384" width="14.44140625" style="4"/>
  </cols>
  <sheetData>
    <row r="1" spans="1:9" ht="16.2" thickBot="1" x14ac:dyDescent="0.35">
      <c r="A1" s="1" t="s">
        <v>0</v>
      </c>
      <c r="B1" s="2" t="s">
        <v>20</v>
      </c>
      <c r="C1" s="61" t="s">
        <v>1</v>
      </c>
      <c r="D1" s="62"/>
      <c r="E1" s="63"/>
      <c r="F1" s="3"/>
      <c r="G1" s="3"/>
      <c r="H1" s="3"/>
      <c r="I1" s="3"/>
    </row>
    <row r="2" spans="1:9" ht="16.2" thickBot="1" x14ac:dyDescent="0.35">
      <c r="A2" s="1" t="s">
        <v>2</v>
      </c>
      <c r="B2" s="2" t="s">
        <v>28</v>
      </c>
      <c r="C2" s="3"/>
      <c r="D2" s="3"/>
      <c r="E2" s="3"/>
      <c r="F2" s="3"/>
      <c r="G2" s="3"/>
      <c r="H2" s="3"/>
      <c r="I2" s="3"/>
    </row>
    <row r="3" spans="1:9" ht="16.2" thickBot="1" x14ac:dyDescent="0.35">
      <c r="A3" s="1" t="s">
        <v>3</v>
      </c>
      <c r="B3" s="2" t="s">
        <v>29</v>
      </c>
      <c r="C3" s="3"/>
      <c r="D3" s="3"/>
      <c r="E3" s="3"/>
      <c r="F3" s="3"/>
      <c r="G3" s="3"/>
      <c r="H3" s="3"/>
      <c r="I3" s="3"/>
    </row>
    <row r="4" spans="1:9" ht="16.2" thickBot="1" x14ac:dyDescent="0.35">
      <c r="A4" s="1" t="s">
        <v>4</v>
      </c>
      <c r="B4" s="5">
        <v>45976</v>
      </c>
      <c r="C4" s="6"/>
      <c r="D4" s="3"/>
      <c r="E4" s="3"/>
      <c r="F4" s="3"/>
      <c r="G4" s="3"/>
      <c r="H4" s="3"/>
      <c r="I4" s="3"/>
    </row>
    <row r="5" spans="1:9" ht="16.2" thickBot="1" x14ac:dyDescent="0.35">
      <c r="A5" s="1" t="s">
        <v>5</v>
      </c>
      <c r="B5" s="2" t="s">
        <v>30</v>
      </c>
      <c r="C5" s="3"/>
      <c r="D5" s="3"/>
      <c r="E5" s="3"/>
      <c r="F5" s="3"/>
      <c r="G5" s="3"/>
      <c r="H5" s="3"/>
      <c r="I5" s="3"/>
    </row>
    <row r="6" spans="1:9" ht="16.2" thickBot="1" x14ac:dyDescent="0.35">
      <c r="A6" s="1" t="s">
        <v>6</v>
      </c>
      <c r="B6" s="5">
        <v>45981</v>
      </c>
      <c r="C6" s="7"/>
      <c r="D6" s="3"/>
      <c r="E6" s="3"/>
      <c r="F6" s="3"/>
      <c r="G6" s="3"/>
      <c r="H6" s="3"/>
      <c r="I6" s="3"/>
    </row>
    <row r="7" spans="1:9" ht="14.25" customHeight="1" thickBot="1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ht="16.2" thickBot="1" x14ac:dyDescent="0.35">
      <c r="A8" s="9" t="s">
        <v>7</v>
      </c>
      <c r="B8" s="9" t="s">
        <v>8</v>
      </c>
      <c r="C8" s="9" t="s">
        <v>9</v>
      </c>
      <c r="D8" s="28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61.2" customHeight="1" thickBot="1" x14ac:dyDescent="0.35">
      <c r="A9" s="33" t="s">
        <v>26</v>
      </c>
      <c r="B9" s="10" t="s">
        <v>27</v>
      </c>
      <c r="C9" s="15" t="s">
        <v>320</v>
      </c>
      <c r="D9" s="26" t="s">
        <v>319</v>
      </c>
      <c r="E9" s="14" t="s">
        <v>31</v>
      </c>
      <c r="F9" s="27" t="s">
        <v>323</v>
      </c>
      <c r="G9" s="16" t="s">
        <v>323</v>
      </c>
      <c r="H9" s="34" t="s">
        <v>16</v>
      </c>
      <c r="I9" s="35" t="s">
        <v>21</v>
      </c>
    </row>
    <row r="10" spans="1:9" ht="60.6" customHeight="1" thickBot="1" x14ac:dyDescent="0.35">
      <c r="A10" s="33" t="s">
        <v>321</v>
      </c>
      <c r="B10" s="10" t="s">
        <v>27</v>
      </c>
      <c r="C10" s="15" t="s">
        <v>320</v>
      </c>
      <c r="D10" s="26" t="s">
        <v>319</v>
      </c>
      <c r="E10" s="14" t="s">
        <v>329</v>
      </c>
      <c r="F10" s="27" t="s">
        <v>324</v>
      </c>
      <c r="G10" s="16" t="s">
        <v>323</v>
      </c>
      <c r="H10" s="34" t="s">
        <v>16</v>
      </c>
      <c r="I10" s="35" t="s">
        <v>21</v>
      </c>
    </row>
    <row r="11" spans="1:9" ht="60.6" customHeight="1" thickBot="1" x14ac:dyDescent="0.35">
      <c r="A11" s="33" t="s">
        <v>322</v>
      </c>
      <c r="B11" s="32" t="s">
        <v>325</v>
      </c>
      <c r="C11" s="15" t="s">
        <v>320</v>
      </c>
      <c r="D11" s="26" t="s">
        <v>319</v>
      </c>
      <c r="E11" s="14" t="s">
        <v>330</v>
      </c>
      <c r="F11" s="27" t="s">
        <v>202</v>
      </c>
      <c r="G11" s="16" t="s">
        <v>202</v>
      </c>
      <c r="H11" s="21" t="s">
        <v>17</v>
      </c>
      <c r="I11" s="35" t="s">
        <v>21</v>
      </c>
    </row>
    <row r="12" spans="1:9" ht="14.25" customHeight="1" x14ac:dyDescent="0.3">
      <c r="A12" s="12"/>
      <c r="B12" s="12"/>
      <c r="C12" s="12"/>
      <c r="D12" s="12"/>
      <c r="E12" s="12"/>
      <c r="F12" s="12"/>
      <c r="G12" s="22" t="s">
        <v>16</v>
      </c>
      <c r="H12" s="23">
        <f>COUNTIF(H8:H11,"Pass")</f>
        <v>2</v>
      </c>
      <c r="I12" s="12"/>
    </row>
    <row r="13" spans="1:9" ht="14.25" customHeight="1" x14ac:dyDescent="0.3">
      <c r="G13" s="22" t="s">
        <v>17</v>
      </c>
      <c r="H13" s="23">
        <f>COUNTIF(H8:H11,"Fail")</f>
        <v>1</v>
      </c>
    </row>
    <row r="14" spans="1:9" ht="14.25" customHeight="1" x14ac:dyDescent="0.3">
      <c r="G14" s="24" t="s">
        <v>18</v>
      </c>
      <c r="H14" s="25">
        <f>COUNTIF(H9:H11,"Pending")</f>
        <v>0</v>
      </c>
    </row>
    <row r="15" spans="1:9" ht="14.25" customHeight="1" x14ac:dyDescent="0.3">
      <c r="G15" s="23" t="s">
        <v>19</v>
      </c>
      <c r="H15" s="23">
        <f>SUM(H12:H14)</f>
        <v>3</v>
      </c>
    </row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</sheetData>
  <mergeCells count="1">
    <mergeCell ref="C1:E1"/>
  </mergeCells>
  <phoneticPr fontId="7" type="noConversion"/>
  <conditionalFormatting sqref="I9:I11">
    <cfRule type="cellIs" dxfId="4" priority="2" operator="equal">
      <formula>"Fail"</formula>
    </cfRule>
  </conditionalFormatting>
  <conditionalFormatting sqref="H11">
    <cfRule type="cellIs" dxfId="0" priority="1" operator="equal">
      <formula>"Fail"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781A-0EA1-4913-968C-526D50034FBB}">
  <dimension ref="A1:I979"/>
  <sheetViews>
    <sheetView topLeftCell="A4" zoomScale="85" zoomScaleNormal="85" workbookViewId="0">
      <selection activeCell="H18" sqref="H18"/>
    </sheetView>
  </sheetViews>
  <sheetFormatPr defaultColWidth="14.44140625" defaultRowHeight="15.6" x14ac:dyDescent="0.3"/>
  <cols>
    <col min="1" max="1" width="17.33203125" style="4" customWidth="1"/>
    <col min="2" max="2" width="29.44140625" style="4" customWidth="1"/>
    <col min="3" max="3" width="24.33203125" style="4" customWidth="1"/>
    <col min="4" max="4" width="26.6640625" style="4" customWidth="1"/>
    <col min="5" max="5" width="35.21875" style="4" bestFit="1" customWidth="1"/>
    <col min="6" max="6" width="28.33203125" style="4" customWidth="1"/>
    <col min="7" max="7" width="27.5546875" style="4" bestFit="1" customWidth="1"/>
    <col min="8" max="8" width="8.44140625" style="4" customWidth="1"/>
    <col min="9" max="9" width="19.88671875" style="4" customWidth="1"/>
    <col min="10" max="26" width="8.6640625" style="4" customWidth="1"/>
    <col min="27" max="16384" width="14.44140625" style="4"/>
  </cols>
  <sheetData>
    <row r="1" spans="1:9" ht="16.2" thickBot="1" x14ac:dyDescent="0.35">
      <c r="A1" s="1" t="s">
        <v>0</v>
      </c>
      <c r="B1" s="2" t="s">
        <v>20</v>
      </c>
      <c r="C1" s="61" t="s">
        <v>1</v>
      </c>
      <c r="D1" s="62"/>
      <c r="E1" s="63"/>
      <c r="F1" s="3"/>
      <c r="G1" s="3"/>
      <c r="H1" s="3"/>
      <c r="I1" s="3"/>
    </row>
    <row r="2" spans="1:9" ht="16.2" thickBot="1" x14ac:dyDescent="0.35">
      <c r="A2" s="1" t="s">
        <v>2</v>
      </c>
      <c r="B2" s="2" t="s">
        <v>332</v>
      </c>
      <c r="C2" s="3"/>
      <c r="D2" s="3"/>
      <c r="E2" s="3"/>
      <c r="F2" s="3"/>
      <c r="G2" s="3"/>
      <c r="H2" s="3"/>
      <c r="I2" s="3"/>
    </row>
    <row r="3" spans="1:9" ht="16.2" thickBot="1" x14ac:dyDescent="0.35">
      <c r="A3" s="1" t="s">
        <v>3</v>
      </c>
      <c r="B3" s="2" t="s">
        <v>29</v>
      </c>
      <c r="C3" s="3"/>
      <c r="D3" s="3"/>
      <c r="E3" s="3"/>
      <c r="F3" s="3"/>
      <c r="G3" s="3"/>
      <c r="H3" s="3"/>
      <c r="I3" s="3"/>
    </row>
    <row r="4" spans="1:9" ht="16.2" thickBot="1" x14ac:dyDescent="0.35">
      <c r="A4" s="1" t="s">
        <v>4</v>
      </c>
      <c r="B4" s="5">
        <v>45976</v>
      </c>
      <c r="C4" s="6"/>
      <c r="D4" s="3"/>
      <c r="E4" s="3"/>
      <c r="F4" s="3"/>
      <c r="G4" s="3"/>
      <c r="H4" s="3"/>
      <c r="I4" s="3"/>
    </row>
    <row r="5" spans="1:9" ht="16.2" thickBot="1" x14ac:dyDescent="0.35">
      <c r="A5" s="1" t="s">
        <v>5</v>
      </c>
      <c r="B5" s="2" t="s">
        <v>30</v>
      </c>
      <c r="C5" s="3"/>
      <c r="D5" s="3"/>
      <c r="E5" s="3"/>
      <c r="F5" s="3"/>
      <c r="G5" s="3"/>
      <c r="H5" s="3"/>
      <c r="I5" s="3"/>
    </row>
    <row r="6" spans="1:9" ht="16.2" thickBot="1" x14ac:dyDescent="0.35">
      <c r="A6" s="1" t="s">
        <v>6</v>
      </c>
      <c r="B6" s="5">
        <v>45981</v>
      </c>
      <c r="C6" s="7"/>
      <c r="D6" s="3"/>
      <c r="E6" s="3"/>
      <c r="F6" s="3"/>
      <c r="G6" s="3"/>
      <c r="H6" s="3"/>
      <c r="I6" s="3"/>
    </row>
    <row r="7" spans="1:9" ht="14.25" customHeight="1" thickBot="1" x14ac:dyDescent="0.35">
      <c r="A7" s="8"/>
      <c r="B7" s="8"/>
      <c r="C7" s="8"/>
      <c r="D7" s="8"/>
      <c r="E7" s="8"/>
      <c r="F7" s="8"/>
      <c r="G7" s="8"/>
      <c r="H7" s="8"/>
      <c r="I7" s="8"/>
    </row>
    <row r="8" spans="1:9" ht="16.2" thickBot="1" x14ac:dyDescent="0.35">
      <c r="A8" s="9" t="s">
        <v>7</v>
      </c>
      <c r="B8" s="9" t="s">
        <v>8</v>
      </c>
      <c r="C8" s="9" t="s">
        <v>9</v>
      </c>
      <c r="D8" s="28" t="s">
        <v>10</v>
      </c>
      <c r="E8" s="9" t="s">
        <v>11</v>
      </c>
      <c r="F8" s="9" t="s">
        <v>12</v>
      </c>
      <c r="G8" s="9" t="s">
        <v>13</v>
      </c>
      <c r="H8" s="9" t="s">
        <v>14</v>
      </c>
      <c r="I8" s="9" t="s">
        <v>15</v>
      </c>
    </row>
    <row r="9" spans="1:9" ht="60.6" customHeight="1" thickBot="1" x14ac:dyDescent="0.35">
      <c r="A9" s="10" t="s">
        <v>253</v>
      </c>
      <c r="B9" s="15" t="s">
        <v>357</v>
      </c>
      <c r="C9" s="26" t="s">
        <v>259</v>
      </c>
      <c r="D9" s="14" t="s">
        <v>263</v>
      </c>
      <c r="E9" s="27" t="s">
        <v>262</v>
      </c>
      <c r="F9" s="16" t="s">
        <v>260</v>
      </c>
      <c r="G9" s="16" t="s">
        <v>260</v>
      </c>
      <c r="H9" s="21" t="s">
        <v>16</v>
      </c>
      <c r="I9" s="10" t="s">
        <v>21</v>
      </c>
    </row>
    <row r="10" spans="1:9" ht="63" thickBot="1" x14ac:dyDescent="0.35">
      <c r="A10" s="10" t="s">
        <v>254</v>
      </c>
      <c r="B10" s="15" t="s">
        <v>358</v>
      </c>
      <c r="C10" s="26" t="s">
        <v>259</v>
      </c>
      <c r="D10" s="14" t="s">
        <v>263</v>
      </c>
      <c r="E10" s="27" t="s">
        <v>268</v>
      </c>
      <c r="F10" s="16" t="s">
        <v>261</v>
      </c>
      <c r="G10" s="16" t="s">
        <v>261</v>
      </c>
      <c r="H10" s="21" t="s">
        <v>16</v>
      </c>
      <c r="I10" s="10" t="s">
        <v>21</v>
      </c>
    </row>
    <row r="11" spans="1:9" ht="45.6" customHeight="1" thickBot="1" x14ac:dyDescent="0.35">
      <c r="A11" s="10" t="s">
        <v>255</v>
      </c>
      <c r="B11" s="15" t="s">
        <v>359</v>
      </c>
      <c r="C11" s="26" t="s">
        <v>259</v>
      </c>
      <c r="D11" s="14" t="s">
        <v>263</v>
      </c>
      <c r="E11" s="27" t="s">
        <v>267</v>
      </c>
      <c r="F11" s="16" t="s">
        <v>261</v>
      </c>
      <c r="G11" s="16" t="s">
        <v>261</v>
      </c>
      <c r="H11" s="21" t="s">
        <v>16</v>
      </c>
      <c r="I11" s="10" t="s">
        <v>21</v>
      </c>
    </row>
    <row r="12" spans="1:9" ht="46.8" customHeight="1" thickBot="1" x14ac:dyDescent="0.35">
      <c r="A12" s="10" t="s">
        <v>256</v>
      </c>
      <c r="B12" s="15" t="s">
        <v>360</v>
      </c>
      <c r="C12" s="26" t="s">
        <v>259</v>
      </c>
      <c r="D12" s="14" t="s">
        <v>263</v>
      </c>
      <c r="E12" s="27" t="s">
        <v>266</v>
      </c>
      <c r="F12" s="16" t="s">
        <v>261</v>
      </c>
      <c r="G12" s="16" t="s">
        <v>261</v>
      </c>
      <c r="H12" s="21" t="s">
        <v>16</v>
      </c>
      <c r="I12" s="10" t="s">
        <v>21</v>
      </c>
    </row>
    <row r="13" spans="1:9" ht="63" thickBot="1" x14ac:dyDescent="0.35">
      <c r="A13" s="10" t="s">
        <v>257</v>
      </c>
      <c r="B13" s="15" t="s">
        <v>361</v>
      </c>
      <c r="C13" s="26" t="s">
        <v>259</v>
      </c>
      <c r="D13" s="14" t="s">
        <v>263</v>
      </c>
      <c r="E13" s="27" t="s">
        <v>265</v>
      </c>
      <c r="F13" s="16" t="s">
        <v>261</v>
      </c>
      <c r="G13" s="16" t="s">
        <v>261</v>
      </c>
      <c r="H13" s="21" t="s">
        <v>16</v>
      </c>
      <c r="I13" s="10" t="s">
        <v>21</v>
      </c>
    </row>
    <row r="14" spans="1:9" ht="63" thickBot="1" x14ac:dyDescent="0.35">
      <c r="A14" s="10" t="s">
        <v>258</v>
      </c>
      <c r="B14" s="15" t="s">
        <v>362</v>
      </c>
      <c r="C14" s="26" t="s">
        <v>259</v>
      </c>
      <c r="D14" s="14" t="s">
        <v>263</v>
      </c>
      <c r="E14" s="27" t="s">
        <v>264</v>
      </c>
      <c r="F14" s="16" t="s">
        <v>261</v>
      </c>
      <c r="G14" s="16" t="s">
        <v>261</v>
      </c>
      <c r="H14" s="21" t="s">
        <v>16</v>
      </c>
      <c r="I14" s="10" t="s">
        <v>21</v>
      </c>
    </row>
    <row r="15" spans="1:9" ht="14.25" customHeight="1" x14ac:dyDescent="0.3">
      <c r="A15" s="12"/>
      <c r="B15" s="12"/>
      <c r="C15" s="12"/>
      <c r="D15" s="12"/>
      <c r="E15" s="12"/>
      <c r="F15" s="12"/>
      <c r="G15" s="22" t="s">
        <v>16</v>
      </c>
      <c r="H15" s="23">
        <f>COUNTIF(H9:H14,"Pass")</f>
        <v>6</v>
      </c>
      <c r="I15" s="12"/>
    </row>
    <row r="16" spans="1:9" ht="14.25" customHeight="1" x14ac:dyDescent="0.3">
      <c r="A16" s="12"/>
      <c r="B16" s="12"/>
      <c r="C16" s="12"/>
      <c r="D16" s="12"/>
      <c r="E16" s="12"/>
      <c r="F16" s="12"/>
      <c r="G16" s="22" t="s">
        <v>17</v>
      </c>
      <c r="H16" s="23">
        <f>COUNTIF(H9:H14,"Fail")</f>
        <v>0</v>
      </c>
      <c r="I16" s="12"/>
    </row>
    <row r="17" spans="1:9" ht="14.25" customHeight="1" x14ac:dyDescent="0.3">
      <c r="A17" s="12"/>
      <c r="B17" s="12"/>
      <c r="C17" s="12"/>
      <c r="D17" s="12"/>
      <c r="E17" s="12"/>
      <c r="F17" s="12"/>
      <c r="G17" s="24" t="s">
        <v>18</v>
      </c>
      <c r="H17" s="25">
        <f>COUNTIF(H10:H14,"Pending")</f>
        <v>0</v>
      </c>
      <c r="I17" s="12"/>
    </row>
    <row r="18" spans="1:9" ht="14.25" customHeight="1" x14ac:dyDescent="0.3">
      <c r="G18" s="23" t="s">
        <v>19</v>
      </c>
      <c r="H18" s="23">
        <f>SUM(H15:H17)</f>
        <v>6</v>
      </c>
    </row>
    <row r="19" spans="1:9" ht="14.25" customHeight="1" x14ac:dyDescent="0.3"/>
    <row r="20" spans="1:9" ht="14.25" customHeight="1" x14ac:dyDescent="0.3"/>
    <row r="21" spans="1:9" ht="14.25" customHeight="1" x14ac:dyDescent="0.3"/>
    <row r="22" spans="1:9" ht="14.25" customHeight="1" x14ac:dyDescent="0.3"/>
    <row r="23" spans="1:9" ht="14.25" customHeight="1" x14ac:dyDescent="0.3"/>
    <row r="24" spans="1:9" ht="14.25" customHeight="1" x14ac:dyDescent="0.3"/>
    <row r="25" spans="1:9" ht="14.25" customHeight="1" x14ac:dyDescent="0.3"/>
    <row r="26" spans="1:9" ht="14.25" customHeight="1" x14ac:dyDescent="0.3"/>
    <row r="27" spans="1:9" ht="14.25" customHeight="1" x14ac:dyDescent="0.3"/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</sheetData>
  <mergeCells count="1">
    <mergeCell ref="C1:E1"/>
  </mergeCells>
  <phoneticPr fontId="7" type="noConversion"/>
  <conditionalFormatting sqref="H9:H14">
    <cfRule type="cellIs" dxfId="1" priority="1" operator="equal">
      <formula>"Fail"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A725-6EAA-4F62-956E-5EB1B8DE13D8}">
  <dimension ref="A1:J22"/>
  <sheetViews>
    <sheetView workbookViewId="0">
      <selection activeCell="G17" sqref="G17"/>
    </sheetView>
  </sheetViews>
  <sheetFormatPr defaultColWidth="8.88671875" defaultRowHeight="13.8" x14ac:dyDescent="0.25"/>
  <cols>
    <col min="1" max="1" width="25.109375" style="36" bestFit="1" customWidth="1"/>
    <col min="2" max="2" width="45.109375" style="36" customWidth="1"/>
    <col min="3" max="3" width="16.88671875" style="36" bestFit="1" customWidth="1"/>
    <col min="4" max="4" width="14.5546875" style="36" bestFit="1" customWidth="1"/>
    <col min="5" max="5" width="13.77734375" style="36" bestFit="1" customWidth="1"/>
    <col min="6" max="6" width="13.44140625" style="36" customWidth="1"/>
    <col min="7" max="7" width="9.44140625" style="36" bestFit="1" customWidth="1"/>
    <col min="8" max="16384" width="8.88671875" style="36"/>
  </cols>
  <sheetData>
    <row r="1" spans="1:7" ht="22.8" x14ac:dyDescent="0.4">
      <c r="A1" s="67" t="s">
        <v>336</v>
      </c>
      <c r="B1" s="68"/>
      <c r="C1" s="68"/>
      <c r="D1" s="68"/>
      <c r="E1" s="68"/>
      <c r="F1" s="68"/>
    </row>
    <row r="2" spans="1:7" ht="15.6" x14ac:dyDescent="0.3">
      <c r="A2" s="37" t="s">
        <v>337</v>
      </c>
      <c r="B2" s="38" t="s">
        <v>338</v>
      </c>
      <c r="C2" s="4"/>
      <c r="D2" s="4"/>
      <c r="E2" s="4"/>
      <c r="F2" s="4"/>
      <c r="G2" s="4"/>
    </row>
    <row r="3" spans="1:7" ht="15.6" x14ac:dyDescent="0.3">
      <c r="A3" s="4"/>
      <c r="B3" s="4"/>
      <c r="C3" s="4"/>
      <c r="D3" s="4"/>
      <c r="E3" s="4"/>
      <c r="F3" s="4"/>
      <c r="G3" s="4"/>
    </row>
    <row r="4" spans="1:7" ht="15.6" x14ac:dyDescent="0.3">
      <c r="A4" s="69" t="s">
        <v>339</v>
      </c>
      <c r="B4" s="39" t="s">
        <v>340</v>
      </c>
      <c r="C4" s="40"/>
      <c r="D4" s="40"/>
      <c r="E4" s="40"/>
      <c r="F4" s="41">
        <v>48</v>
      </c>
      <c r="G4" s="4"/>
    </row>
    <row r="5" spans="1:7" ht="15.6" x14ac:dyDescent="0.3">
      <c r="A5" s="70"/>
      <c r="B5" s="42" t="s">
        <v>341</v>
      </c>
      <c r="C5" s="40"/>
      <c r="D5" s="40"/>
      <c r="E5" s="40"/>
      <c r="F5" s="43">
        <v>27</v>
      </c>
      <c r="G5" s="4"/>
    </row>
    <row r="6" spans="1:7" ht="15.6" x14ac:dyDescent="0.3">
      <c r="A6" s="71"/>
      <c r="B6" s="72" t="s">
        <v>342</v>
      </c>
      <c r="C6" s="73"/>
      <c r="D6" s="73"/>
      <c r="E6" s="74"/>
      <c r="F6" s="44">
        <v>75</v>
      </c>
      <c r="G6" s="4"/>
    </row>
    <row r="7" spans="1:7" ht="15.6" x14ac:dyDescent="0.3">
      <c r="A7" s="75" t="s">
        <v>18</v>
      </c>
      <c r="B7" s="65"/>
      <c r="C7" s="65"/>
      <c r="D7" s="65"/>
      <c r="E7" s="65"/>
      <c r="F7" s="66"/>
      <c r="G7" s="40">
        <v>0</v>
      </c>
    </row>
    <row r="8" spans="1:7" ht="15.6" x14ac:dyDescent="0.3">
      <c r="A8" s="75" t="s">
        <v>343</v>
      </c>
      <c r="B8" s="65"/>
      <c r="C8" s="65"/>
      <c r="D8" s="65"/>
      <c r="E8" s="65"/>
      <c r="F8" s="66"/>
      <c r="G8" s="40">
        <v>0</v>
      </c>
    </row>
    <row r="9" spans="1:7" ht="15.6" x14ac:dyDescent="0.3">
      <c r="A9" s="75" t="s">
        <v>344</v>
      </c>
      <c r="B9" s="65"/>
      <c r="C9" s="65"/>
      <c r="D9" s="65"/>
      <c r="E9" s="65"/>
      <c r="F9" s="66"/>
      <c r="G9" s="40">
        <v>0</v>
      </c>
    </row>
    <row r="10" spans="1:7" ht="15.6" x14ac:dyDescent="0.3">
      <c r="A10" s="64" t="s">
        <v>345</v>
      </c>
      <c r="B10" s="65"/>
      <c r="C10" s="65"/>
      <c r="D10" s="65"/>
      <c r="E10" s="65"/>
      <c r="F10" s="66"/>
      <c r="G10" s="45">
        <f>F6</f>
        <v>75</v>
      </c>
    </row>
    <row r="11" spans="1:7" ht="15.6" x14ac:dyDescent="0.3">
      <c r="A11" s="64" t="s">
        <v>346</v>
      </c>
      <c r="B11" s="65"/>
      <c r="C11" s="65"/>
      <c r="D11" s="65"/>
      <c r="E11" s="65"/>
      <c r="F11" s="66"/>
      <c r="G11" s="46">
        <f>SUM(G7:G10)</f>
        <v>75</v>
      </c>
    </row>
    <row r="12" spans="1:7" ht="15.6" x14ac:dyDescent="0.3">
      <c r="A12" s="4"/>
      <c r="B12" s="4"/>
      <c r="C12" s="4"/>
      <c r="D12" s="4"/>
      <c r="E12" s="4"/>
      <c r="F12" s="4"/>
      <c r="G12" s="4"/>
    </row>
    <row r="13" spans="1:7" ht="15.6" x14ac:dyDescent="0.25">
      <c r="A13" s="47" t="s">
        <v>347</v>
      </c>
      <c r="B13" s="47" t="s">
        <v>8</v>
      </c>
      <c r="C13" s="47" t="s">
        <v>348</v>
      </c>
      <c r="D13" s="47" t="s">
        <v>349</v>
      </c>
      <c r="E13" s="47" t="s">
        <v>350</v>
      </c>
      <c r="F13" s="47" t="s">
        <v>351</v>
      </c>
      <c r="G13" s="47" t="s">
        <v>14</v>
      </c>
    </row>
    <row r="14" spans="1:7" ht="15.6" x14ac:dyDescent="0.3">
      <c r="A14" s="40" t="s">
        <v>354</v>
      </c>
      <c r="B14" s="40" t="s">
        <v>210</v>
      </c>
      <c r="C14" s="48">
        <v>1</v>
      </c>
      <c r="D14" s="48">
        <f>('Admin-Hiếu'!H15/'Admin-Hiếu'!H18)</f>
        <v>0.16666666666666666</v>
      </c>
      <c r="E14" s="48">
        <f>('Admin-Hiếu'!H16/'Admin-Hiếu'!H18)</f>
        <v>0.83333333333333337</v>
      </c>
      <c r="F14" s="56" t="s">
        <v>352</v>
      </c>
      <c r="G14" s="53" t="s">
        <v>17</v>
      </c>
    </row>
    <row r="15" spans="1:7" ht="15.6" x14ac:dyDescent="0.3">
      <c r="A15" s="40" t="s">
        <v>220</v>
      </c>
      <c r="B15" s="40" t="s">
        <v>368</v>
      </c>
      <c r="C15" s="48">
        <v>1</v>
      </c>
      <c r="D15" s="48">
        <f>('MCU-Hiếu'!H10/'MCU-Hiếu'!H13)</f>
        <v>1</v>
      </c>
      <c r="E15" s="48">
        <f>('MCU-Hiếu'!H11/'MCU-Hiếu'!H13)</f>
        <v>0</v>
      </c>
      <c r="F15" s="57" t="s">
        <v>353</v>
      </c>
      <c r="G15" s="50" t="s">
        <v>16</v>
      </c>
    </row>
    <row r="16" spans="1:7" ht="15.6" x14ac:dyDescent="0.3">
      <c r="A16" s="40" t="s">
        <v>334</v>
      </c>
      <c r="B16" s="40" t="s">
        <v>367</v>
      </c>
      <c r="C16" s="48">
        <v>1</v>
      </c>
      <c r="D16" s="48">
        <f>('PM-Hiếu'!H11/'PM-Hiếu'!H14)</f>
        <v>0</v>
      </c>
      <c r="E16" s="54">
        <f>('PM-Hiếu'!H12/'PM-Hiếu'!H14)</f>
        <v>1</v>
      </c>
      <c r="F16" s="55" t="s">
        <v>372</v>
      </c>
      <c r="G16" s="51" t="s">
        <v>17</v>
      </c>
    </row>
    <row r="17" spans="1:10" ht="15.6" x14ac:dyDescent="0.3">
      <c r="A17" s="40" t="s">
        <v>355</v>
      </c>
      <c r="B17" s="40" t="s">
        <v>365</v>
      </c>
      <c r="C17" s="48">
        <v>1</v>
      </c>
      <c r="D17" s="48">
        <f>('Login (User)-Hiếu'!H37/'Login (User)-Hiếu'!H40)</f>
        <v>0.42857142857142855</v>
      </c>
      <c r="E17" s="48">
        <f>('Login (User)-Hiếu'!H38/'Login (User)-Hiếu'!H40)</f>
        <v>0.5714285714285714</v>
      </c>
      <c r="F17" s="58" t="s">
        <v>352</v>
      </c>
      <c r="G17" s="51" t="s">
        <v>17</v>
      </c>
    </row>
    <row r="18" spans="1:10" ht="15.6" x14ac:dyDescent="0.3">
      <c r="A18" s="40" t="s">
        <v>45</v>
      </c>
      <c r="B18" s="40" t="s">
        <v>364</v>
      </c>
      <c r="C18" s="48">
        <v>1</v>
      </c>
      <c r="D18" s="48">
        <f>('Logout-Hiếu'!H23/'Logout-Hiếu'!H26)</f>
        <v>0.7857142857142857</v>
      </c>
      <c r="E18" s="48">
        <f>('Logout-Hiếu'!H24/'Logout-Hiếu'!H26)</f>
        <v>0.21428571428571427</v>
      </c>
      <c r="F18" s="57" t="s">
        <v>353</v>
      </c>
      <c r="G18" s="50" t="s">
        <v>16</v>
      </c>
    </row>
    <row r="19" spans="1:10" ht="15.6" x14ac:dyDescent="0.3">
      <c r="A19" s="40" t="s">
        <v>318</v>
      </c>
      <c r="B19" s="40" t="s">
        <v>363</v>
      </c>
      <c r="C19" s="48">
        <v>1</v>
      </c>
      <c r="D19" s="48">
        <f>('UPI-Hiếu'!H24/'UPI-Hiếu'!H27)</f>
        <v>1</v>
      </c>
      <c r="E19" s="48">
        <f>('UPI-Hiếu'!H25/'UPI-Hiếu'!H27)</f>
        <v>0</v>
      </c>
      <c r="F19" s="59" t="s">
        <v>371</v>
      </c>
      <c r="G19" s="52" t="s">
        <v>370</v>
      </c>
    </row>
    <row r="20" spans="1:10" ht="15.6" x14ac:dyDescent="0.3">
      <c r="A20" s="40" t="s">
        <v>28</v>
      </c>
      <c r="B20" s="40" t="s">
        <v>27</v>
      </c>
      <c r="C20" s="48">
        <v>1</v>
      </c>
      <c r="D20" s="48">
        <f>'Forgot Pass-Hiếu'!H12/'Forgot Pass-Hiếu'!H15</f>
        <v>0.66666666666666663</v>
      </c>
      <c r="E20" s="48">
        <f>'Forgot Pass-Hiếu'!H13/'Forgot Pass-Hiếu'!H15</f>
        <v>0.33333333333333331</v>
      </c>
      <c r="F20" s="58" t="s">
        <v>352</v>
      </c>
      <c r="G20" s="51" t="s">
        <v>17</v>
      </c>
    </row>
    <row r="21" spans="1:10" ht="15.6" x14ac:dyDescent="0.3">
      <c r="A21" s="40" t="s">
        <v>332</v>
      </c>
      <c r="B21" s="40" t="s">
        <v>356</v>
      </c>
      <c r="C21" s="48">
        <f>('Forgot Pass-Hiếu'!H15-'Forgot Pass-Hiếu'!H14)/'Forgot Pass-Hiếu'!H15</f>
        <v>1</v>
      </c>
      <c r="D21" s="48">
        <f>('Comment-Hiếu'!H15/'Comment-Hiếu'!H18)</f>
        <v>1</v>
      </c>
      <c r="E21" s="48">
        <f>('Comment-Hiếu'!H16/'Comment-Hiếu'!H18)</f>
        <v>0</v>
      </c>
      <c r="F21" s="60" t="s">
        <v>369</v>
      </c>
      <c r="G21" s="50" t="s">
        <v>16</v>
      </c>
    </row>
    <row r="22" spans="1:10" x14ac:dyDescent="0.25">
      <c r="J22" s="49"/>
    </row>
  </sheetData>
  <mergeCells count="8">
    <mergeCell ref="A10:F10"/>
    <mergeCell ref="A11:F11"/>
    <mergeCell ref="A1:F1"/>
    <mergeCell ref="A4:A6"/>
    <mergeCell ref="B6:E6"/>
    <mergeCell ref="A7:F7"/>
    <mergeCell ref="A8:F8"/>
    <mergeCell ref="A9:F9"/>
  </mergeCells>
  <conditionalFormatting sqref="E14:E21">
    <cfRule type="cellIs" dxfId="3" priority="2" operator="greaterThan">
      <formula>0.2</formula>
    </cfRule>
  </conditionalFormatting>
  <conditionalFormatting sqref="F14:F21">
    <cfRule type="cellIs" dxfId="2" priority="1" operator="equal">
      <formula>"High"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 (User)-Hiếu</vt:lpstr>
      <vt:lpstr>Admin-Hiếu</vt:lpstr>
      <vt:lpstr>MCU-Hiếu</vt:lpstr>
      <vt:lpstr>PM-Hiếu</vt:lpstr>
      <vt:lpstr>Logout-Hiếu</vt:lpstr>
      <vt:lpstr>UPI-Hiếu</vt:lpstr>
      <vt:lpstr>Forgot Pass-Hiếu</vt:lpstr>
      <vt:lpstr>Comment-Hiếu</vt:lpstr>
      <vt:lpstr>Test Report-Hiếu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</dc:creator>
  <cp:lastModifiedBy>Nguyễn Mạnh</cp:lastModifiedBy>
  <dcterms:created xsi:type="dcterms:W3CDTF">2025-11-15T04:01:39Z</dcterms:created>
  <dcterms:modified xsi:type="dcterms:W3CDTF">2025-11-23T04:54:37Z</dcterms:modified>
</cp:coreProperties>
</file>